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idahmet\Downloads\Documents\"/>
    </mc:Choice>
  </mc:AlternateContent>
  <xr:revisionPtr revIDLastSave="0" documentId="13_ncr:1_{361A97C9-2AD7-4701-8898-1DB602BD00A9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2010-2025 " sheetId="2" r:id="rId1"/>
    <sheet name="unemployed_rate" sheetId="3" r:id="rId2"/>
  </sheets>
  <calcPr calcId="191029"/>
</workbook>
</file>

<file path=xl/calcChain.xml><?xml version="1.0" encoding="utf-8"?>
<calcChain xmlns="http://schemas.openxmlformats.org/spreadsheetml/2006/main">
  <c r="A38" i="3" l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50" i="3" l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</calcChain>
</file>

<file path=xl/sharedStrings.xml><?xml version="1.0" encoding="utf-8"?>
<sst xmlns="http://schemas.openxmlformats.org/spreadsheetml/2006/main" count="262" uniqueCount="26">
  <si>
    <t>*) Assessment of indicators for the period April 2020-June 2021 was not carried out.</t>
  </si>
  <si>
    <t>Unemployment rate, %</t>
  </si>
  <si>
    <t>Unemployed population, thsd persons</t>
  </si>
  <si>
    <t>Employed population, thsd persons</t>
  </si>
  <si>
    <t>Labour force, thsd persons</t>
  </si>
  <si>
    <t xml:space="preserve">December </t>
  </si>
  <si>
    <t>November</t>
  </si>
  <si>
    <t>October</t>
  </si>
  <si>
    <t xml:space="preserve">September </t>
  </si>
  <si>
    <t>August</t>
  </si>
  <si>
    <t xml:space="preserve">July </t>
  </si>
  <si>
    <t xml:space="preserve">June </t>
  </si>
  <si>
    <t xml:space="preserve">May </t>
  </si>
  <si>
    <t>April</t>
  </si>
  <si>
    <t>March</t>
  </si>
  <si>
    <t>February</t>
  </si>
  <si>
    <t>January</t>
  </si>
  <si>
    <t>2020*</t>
  </si>
  <si>
    <t xml:space="preserve"> </t>
  </si>
  <si>
    <t>Labour force (economically active population), thsd persons</t>
  </si>
  <si>
    <t>Economically active population, thsd persons</t>
  </si>
  <si>
    <t xml:space="preserve">January </t>
  </si>
  <si>
    <t xml:space="preserve">August </t>
  </si>
  <si>
    <t xml:space="preserve">Main indicators of labor market per month, 2010-2025 (estimated data) </t>
  </si>
  <si>
    <t>Date</t>
  </si>
  <si>
    <t>UnemploymentRate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</si>
</sst>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color indexed="8"/>
      <name val="Roboto "/>
      <charset val="204"/>
    </font>
    <font>
      <sz val="8"/>
      <name val="Roboto "/>
      <charset val="204"/>
    </font>
    <font>
      <b/>
      <sz val="9"/>
      <name val="Roboto "/>
      <charset val="204"/>
    </font>
    <font>
      <b/>
      <sz val="8"/>
      <name val="Roboto "/>
      <charset val="204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164" fontId="3" fillId="0" borderId="1" xfId="2" applyNumberFormat="1" applyFont="1" applyBorder="1" applyAlignment="1">
      <alignment horizontal="right" wrapText="1"/>
    </xf>
    <xf numFmtId="164" fontId="3" fillId="0" borderId="1" xfId="2" applyNumberFormat="1" applyFont="1" applyFill="1" applyBorder="1" applyAlignment="1">
      <alignment horizontal="right" wrapText="1"/>
    </xf>
    <xf numFmtId="0" fontId="4" fillId="0" borderId="0" xfId="0" applyFont="1"/>
    <xf numFmtId="17" fontId="4" fillId="2" borderId="1" xfId="1" applyNumberFormat="1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Fill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/>
    <xf numFmtId="164" fontId="4" fillId="0" borderId="1" xfId="0" applyNumberFormat="1" applyFont="1" applyFill="1" applyBorder="1"/>
    <xf numFmtId="0" fontId="4" fillId="0" borderId="1" xfId="0" applyFont="1" applyFill="1" applyBorder="1"/>
    <xf numFmtId="0" fontId="4" fillId="0" borderId="1" xfId="0" applyFont="1" applyBorder="1" applyAlignment="1"/>
    <xf numFmtId="0" fontId="4" fillId="0" borderId="0" xfId="0" applyFont="1" applyBorder="1" applyAlignment="1">
      <alignment wrapText="1"/>
    </xf>
    <xf numFmtId="164" fontId="3" fillId="0" borderId="0" xfId="2" applyNumberFormat="1" applyFont="1" applyBorder="1" applyAlignment="1">
      <alignment horizontal="right" wrapText="1"/>
    </xf>
    <xf numFmtId="164" fontId="4" fillId="0" borderId="0" xfId="0" applyNumberFormat="1" applyFont="1" applyFill="1" applyBorder="1"/>
    <xf numFmtId="164" fontId="4" fillId="0" borderId="0" xfId="0" applyNumberFormat="1" applyFont="1" applyBorder="1"/>
    <xf numFmtId="14" fontId="0" fillId="0" borderId="0" xfId="0" applyNumberFormat="1"/>
    <xf numFmtId="164" fontId="3" fillId="0" borderId="0" xfId="0" applyNumberFormat="1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 wrapTex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Border="1"/>
    <xf numFmtId="0" fontId="0" fillId="0" borderId="0" xfId="0" applyBorder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/>
    <xf numFmtId="2" fontId="3" fillId="0" borderId="2" xfId="0" applyNumberFormat="1" applyFont="1" applyBorder="1" applyAlignment="1">
      <alignment horizontal="right" wrapText="1"/>
    </xf>
    <xf numFmtId="2" fontId="4" fillId="0" borderId="2" xfId="0" applyNumberFormat="1" applyFont="1" applyBorder="1" applyAlignment="1">
      <alignment horizontal="right"/>
    </xf>
    <xf numFmtId="2" fontId="4" fillId="0" borderId="2" xfId="0" applyNumberFormat="1" applyFont="1" applyBorder="1" applyAlignment="1">
      <alignment horizontal="right" wrapText="1"/>
    </xf>
    <xf numFmtId="2" fontId="4" fillId="0" borderId="2" xfId="0" applyNumberFormat="1" applyFont="1" applyFill="1" applyBorder="1" applyAlignment="1">
      <alignment horizontal="right"/>
    </xf>
    <xf numFmtId="2" fontId="4" fillId="0" borderId="2" xfId="0" applyNumberFormat="1" applyFont="1" applyBorder="1"/>
    <xf numFmtId="2" fontId="4" fillId="0" borderId="2" xfId="0" applyNumberFormat="1" applyFont="1" applyFill="1" applyBorder="1"/>
    <xf numFmtId="2" fontId="7" fillId="0" borderId="0" xfId="0" applyNumberFormat="1" applyFont="1"/>
    <xf numFmtId="2" fontId="3" fillId="0" borderId="2" xfId="2" applyNumberFormat="1" applyFont="1" applyBorder="1" applyAlignment="1">
      <alignment horizontal="right" wrapText="1"/>
    </xf>
  </cellXfs>
  <cellStyles count="3">
    <cellStyle name="Normal" xfId="0" builtinId="0"/>
    <cellStyle name="Обычный 2" xfId="2" xr:uid="{00000000-0005-0000-0000-000001000000}"/>
    <cellStyle name="Обычный_Лист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5"/>
  <sheetViews>
    <sheetView topLeftCell="A82" zoomScaleNormal="100" workbookViewId="0">
      <selection activeCell="B113" sqref="B113:M113"/>
    </sheetView>
  </sheetViews>
  <sheetFormatPr defaultColWidth="9.109375" defaultRowHeight="10.199999999999999"/>
  <cols>
    <col min="1" max="1" width="41.44140625" style="3" customWidth="1"/>
    <col min="2" max="2" width="8.44140625" style="3" customWidth="1"/>
    <col min="3" max="3" width="8.33203125" style="3" customWidth="1"/>
    <col min="4" max="4" width="7.33203125" style="3" customWidth="1"/>
    <col min="5" max="5" width="8" style="3" customWidth="1"/>
    <col min="6" max="6" width="8.33203125" style="3" customWidth="1"/>
    <col min="7" max="7" width="8.44140625" style="3" customWidth="1"/>
    <col min="8" max="8" width="8.33203125" style="3" customWidth="1"/>
    <col min="9" max="9" width="8.5546875" style="3" customWidth="1"/>
    <col min="10" max="10" width="10.44140625" style="3" customWidth="1"/>
    <col min="11" max="11" width="8.6640625" style="3" customWidth="1"/>
    <col min="12" max="12" width="9.33203125" style="3" customWidth="1"/>
    <col min="13" max="13" width="9.6640625" style="3" customWidth="1"/>
    <col min="14" max="16384" width="9.109375" style="3"/>
  </cols>
  <sheetData>
    <row r="2" spans="1:13" ht="12">
      <c r="B2" s="31" t="s">
        <v>23</v>
      </c>
      <c r="C2" s="31"/>
      <c r="D2" s="31"/>
      <c r="E2" s="31"/>
      <c r="F2" s="31"/>
      <c r="G2" s="31"/>
      <c r="H2" s="31"/>
      <c r="I2" s="31"/>
      <c r="J2" s="31"/>
    </row>
    <row r="4" spans="1:13">
      <c r="A4" s="30"/>
      <c r="B4" s="29">
        <v>2010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>
      <c r="A5" s="30"/>
      <c r="B5" s="4" t="s">
        <v>21</v>
      </c>
      <c r="C5" s="4" t="s">
        <v>15</v>
      </c>
      <c r="D5" s="4" t="s">
        <v>14</v>
      </c>
      <c r="E5" s="4" t="s">
        <v>13</v>
      </c>
      <c r="F5" s="4" t="s">
        <v>12</v>
      </c>
      <c r="G5" s="4" t="s">
        <v>11</v>
      </c>
      <c r="H5" s="4" t="s">
        <v>10</v>
      </c>
      <c r="I5" s="4" t="s">
        <v>22</v>
      </c>
      <c r="J5" s="4" t="s">
        <v>8</v>
      </c>
      <c r="K5" s="4" t="s">
        <v>7</v>
      </c>
      <c r="L5" s="4" t="s">
        <v>6</v>
      </c>
      <c r="M5" s="4" t="s">
        <v>5</v>
      </c>
    </row>
    <row r="6" spans="1:13" ht="22.5" customHeight="1">
      <c r="A6" s="5" t="s">
        <v>20</v>
      </c>
      <c r="B6" s="6">
        <v>8448.4</v>
      </c>
      <c r="C6" s="6">
        <v>8560.4</v>
      </c>
      <c r="D6" s="6">
        <v>8657.7000000000007</v>
      </c>
      <c r="E6" s="7">
        <v>8574.1</v>
      </c>
      <c r="F6" s="8">
        <v>8619.2999999999993</v>
      </c>
      <c r="G6" s="7">
        <v>8667.9</v>
      </c>
      <c r="H6" s="7">
        <v>8656.5</v>
      </c>
      <c r="I6" s="7">
        <v>8654.2999999999993</v>
      </c>
      <c r="J6" s="7">
        <v>8647.6</v>
      </c>
      <c r="K6" s="9">
        <v>8617.2999999999993</v>
      </c>
      <c r="L6" s="7">
        <v>8615.6</v>
      </c>
      <c r="M6" s="7">
        <v>8615.2999999999993</v>
      </c>
    </row>
    <row r="7" spans="1:13" ht="14.25" customHeight="1">
      <c r="A7" s="5" t="s">
        <v>3</v>
      </c>
      <c r="B7" s="6">
        <v>7920.6</v>
      </c>
      <c r="C7" s="6">
        <v>8033.9</v>
      </c>
      <c r="D7" s="6">
        <v>8133.4</v>
      </c>
      <c r="E7" s="7">
        <v>8060</v>
      </c>
      <c r="F7" s="8">
        <v>8117.5</v>
      </c>
      <c r="G7" s="7">
        <v>8172</v>
      </c>
      <c r="H7" s="7">
        <v>8169.9</v>
      </c>
      <c r="I7" s="7">
        <v>8180.1</v>
      </c>
      <c r="J7" s="7">
        <v>8163.3</v>
      </c>
      <c r="K7" s="9">
        <v>8145.2</v>
      </c>
      <c r="L7" s="7">
        <v>8141.3</v>
      </c>
      <c r="M7" s="7">
        <v>8137.6</v>
      </c>
    </row>
    <row r="8" spans="1:13" ht="21" customHeight="1">
      <c r="A8" s="5" t="s">
        <v>2</v>
      </c>
      <c r="B8" s="6">
        <v>527.79999999999995</v>
      </c>
      <c r="C8" s="6">
        <v>526.5</v>
      </c>
      <c r="D8" s="6">
        <v>524.29999999999995</v>
      </c>
      <c r="E8" s="7">
        <v>514.1</v>
      </c>
      <c r="F8" s="8">
        <v>501.8</v>
      </c>
      <c r="G8" s="7">
        <v>495.9</v>
      </c>
      <c r="H8" s="7">
        <v>486.6</v>
      </c>
      <c r="I8" s="7">
        <v>474.2</v>
      </c>
      <c r="J8" s="7">
        <v>484.3</v>
      </c>
      <c r="K8" s="9">
        <v>472.1</v>
      </c>
      <c r="L8" s="7">
        <v>474.3</v>
      </c>
      <c r="M8" s="7">
        <v>477.7</v>
      </c>
    </row>
    <row r="9" spans="1:13" ht="20.25" customHeight="1">
      <c r="A9" s="5" t="s">
        <v>1</v>
      </c>
      <c r="B9" s="6">
        <v>6.3</v>
      </c>
      <c r="C9" s="6">
        <v>6.2</v>
      </c>
      <c r="D9" s="6">
        <v>6.1</v>
      </c>
      <c r="E9" s="7">
        <v>6</v>
      </c>
      <c r="F9" s="8">
        <v>5.8</v>
      </c>
      <c r="G9" s="7">
        <v>5.7</v>
      </c>
      <c r="H9" s="7">
        <v>5.6</v>
      </c>
      <c r="I9" s="7">
        <v>5.6</v>
      </c>
      <c r="J9" s="7">
        <v>5.6</v>
      </c>
      <c r="K9" s="9">
        <v>5.5</v>
      </c>
      <c r="L9" s="7">
        <v>5.5</v>
      </c>
      <c r="M9" s="7">
        <v>5.5</v>
      </c>
    </row>
    <row r="10" spans="1:1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s="30"/>
      <c r="B11" s="29">
        <v>2011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7.25" customHeight="1">
      <c r="A12" s="30"/>
      <c r="B12" s="4" t="s">
        <v>21</v>
      </c>
      <c r="C12" s="4" t="s">
        <v>15</v>
      </c>
      <c r="D12" s="4" t="s">
        <v>14</v>
      </c>
      <c r="E12" s="4" t="s">
        <v>13</v>
      </c>
      <c r="F12" s="4" t="s">
        <v>12</v>
      </c>
      <c r="G12" s="4" t="s">
        <v>11</v>
      </c>
      <c r="H12" s="4" t="s">
        <v>10</v>
      </c>
      <c r="I12" s="4" t="s">
        <v>9</v>
      </c>
      <c r="J12" s="4" t="s">
        <v>8</v>
      </c>
      <c r="K12" s="4" t="s">
        <v>7</v>
      </c>
      <c r="L12" s="4" t="s">
        <v>6</v>
      </c>
      <c r="M12" s="4" t="s">
        <v>5</v>
      </c>
    </row>
    <row r="13" spans="1:13" ht="27" customHeight="1">
      <c r="A13" s="5" t="s">
        <v>20</v>
      </c>
      <c r="B13" s="6">
        <v>8610.2999999999993</v>
      </c>
      <c r="C13" s="7">
        <v>8610.2000000000007</v>
      </c>
      <c r="D13" s="7">
        <v>8610.7999999999993</v>
      </c>
      <c r="E13" s="7">
        <v>8658.1</v>
      </c>
      <c r="F13" s="8">
        <v>8672.1</v>
      </c>
      <c r="G13" s="7">
        <v>8683.9</v>
      </c>
      <c r="H13" s="11">
        <v>8920.6</v>
      </c>
      <c r="I13" s="11">
        <v>8915.7000000000007</v>
      </c>
      <c r="J13" s="11">
        <v>8910.4</v>
      </c>
      <c r="K13" s="11">
        <v>8890</v>
      </c>
      <c r="L13" s="11">
        <v>8884.1</v>
      </c>
      <c r="M13" s="10">
        <v>8945.1</v>
      </c>
    </row>
    <row r="14" spans="1:13" ht="17.25" customHeight="1">
      <c r="A14" s="5" t="s">
        <v>3</v>
      </c>
      <c r="B14" s="6">
        <v>8130.8</v>
      </c>
      <c r="C14" s="7">
        <v>8134.6</v>
      </c>
      <c r="D14" s="7">
        <v>8138.2</v>
      </c>
      <c r="E14" s="7">
        <v>8184.9</v>
      </c>
      <c r="F14" s="8">
        <v>8205.5</v>
      </c>
      <c r="G14" s="7">
        <v>8222.7000000000007</v>
      </c>
      <c r="H14" s="11">
        <v>8448.4</v>
      </c>
      <c r="I14" s="11">
        <v>8443.5</v>
      </c>
      <c r="J14" s="11">
        <v>8437.9</v>
      </c>
      <c r="K14" s="11">
        <v>8415</v>
      </c>
      <c r="L14" s="11">
        <v>8406.5</v>
      </c>
      <c r="M14" s="10">
        <v>8465.9</v>
      </c>
    </row>
    <row r="15" spans="1:13" ht="20.25" customHeight="1">
      <c r="A15" s="5" t="s">
        <v>2</v>
      </c>
      <c r="B15" s="6">
        <v>479.5</v>
      </c>
      <c r="C15" s="7">
        <v>475.6</v>
      </c>
      <c r="D15" s="7">
        <v>472.6</v>
      </c>
      <c r="E15" s="7">
        <v>473.2</v>
      </c>
      <c r="F15" s="8">
        <v>466.6</v>
      </c>
      <c r="G15" s="7">
        <v>461.2</v>
      </c>
      <c r="H15" s="11">
        <v>472.2</v>
      </c>
      <c r="I15" s="11">
        <v>472.2</v>
      </c>
      <c r="J15" s="11">
        <v>472.5</v>
      </c>
      <c r="K15" s="11">
        <v>475</v>
      </c>
      <c r="L15" s="11">
        <v>477.6</v>
      </c>
      <c r="M15" s="10">
        <v>479.2</v>
      </c>
    </row>
    <row r="16" spans="1:13" ht="16.5" customHeight="1">
      <c r="A16" s="5" t="s">
        <v>1</v>
      </c>
      <c r="B16" s="6">
        <v>5.6</v>
      </c>
      <c r="C16" s="7">
        <v>5.5</v>
      </c>
      <c r="D16" s="7">
        <v>5.5</v>
      </c>
      <c r="E16" s="7">
        <v>5.5</v>
      </c>
      <c r="F16" s="8">
        <v>5.4</v>
      </c>
      <c r="G16" s="7">
        <v>5.3</v>
      </c>
      <c r="H16" s="11">
        <v>5.3</v>
      </c>
      <c r="I16" s="11">
        <v>5.3</v>
      </c>
      <c r="J16" s="11">
        <v>5.3</v>
      </c>
      <c r="K16" s="11">
        <v>5.3</v>
      </c>
      <c r="L16" s="11">
        <v>5.4</v>
      </c>
      <c r="M16" s="10">
        <v>5.4</v>
      </c>
    </row>
    <row r="17" spans="1:1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2"/>
      <c r="M17" s="10"/>
    </row>
    <row r="18" spans="1:13">
      <c r="A18" s="30"/>
      <c r="B18" s="29">
        <v>2012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>
      <c r="A19" s="30"/>
      <c r="B19" s="4" t="s">
        <v>21</v>
      </c>
      <c r="C19" s="4" t="s">
        <v>15</v>
      </c>
      <c r="D19" s="4" t="s">
        <v>14</v>
      </c>
      <c r="E19" s="4" t="s">
        <v>13</v>
      </c>
      <c r="F19" s="4" t="s">
        <v>12</v>
      </c>
      <c r="G19" s="4" t="s">
        <v>11</v>
      </c>
      <c r="H19" s="4" t="s">
        <v>10</v>
      </c>
      <c r="I19" s="4" t="s">
        <v>9</v>
      </c>
      <c r="J19" s="4" t="s">
        <v>8</v>
      </c>
      <c r="K19" s="4" t="s">
        <v>7</v>
      </c>
      <c r="L19" s="4" t="s">
        <v>6</v>
      </c>
      <c r="M19" s="4" t="s">
        <v>5</v>
      </c>
    </row>
    <row r="20" spans="1:13">
      <c r="A20" s="5" t="s">
        <v>20</v>
      </c>
      <c r="B20" s="6">
        <v>8924.2999999999993</v>
      </c>
      <c r="C20" s="7">
        <v>8949.9</v>
      </c>
      <c r="D20" s="7">
        <v>8948.7999999999993</v>
      </c>
      <c r="E20" s="7">
        <v>8965</v>
      </c>
      <c r="F20" s="8">
        <v>9004</v>
      </c>
      <c r="G20" s="7">
        <v>9030.4</v>
      </c>
      <c r="H20" s="11">
        <v>9014</v>
      </c>
      <c r="I20" s="11">
        <v>9013.7999999999993</v>
      </c>
      <c r="J20" s="11">
        <v>9011.6</v>
      </c>
      <c r="K20" s="11">
        <v>8975.1</v>
      </c>
      <c r="L20" s="11">
        <v>8974.5</v>
      </c>
      <c r="M20" s="10">
        <v>8974.6</v>
      </c>
    </row>
    <row r="21" spans="1:13" ht="15" customHeight="1">
      <c r="A21" s="5" t="s">
        <v>3</v>
      </c>
      <c r="B21" s="6">
        <v>8442.9</v>
      </c>
      <c r="C21" s="7">
        <v>8469.9</v>
      </c>
      <c r="D21" s="7">
        <v>8474.6</v>
      </c>
      <c r="E21" s="7">
        <v>8490</v>
      </c>
      <c r="F21" s="8">
        <v>8530.4</v>
      </c>
      <c r="G21" s="7">
        <v>8559.7999999999993</v>
      </c>
      <c r="H21" s="11">
        <v>8543.9</v>
      </c>
      <c r="I21" s="11">
        <v>8540.7000000000007</v>
      </c>
      <c r="J21" s="11">
        <v>8536.2999999999993</v>
      </c>
      <c r="K21" s="11">
        <v>8500.1</v>
      </c>
      <c r="L21" s="11">
        <v>8499.7999999999993</v>
      </c>
      <c r="M21" s="10">
        <v>8499.9</v>
      </c>
    </row>
    <row r="22" spans="1:13" ht="15" customHeight="1">
      <c r="A22" s="5" t="s">
        <v>2</v>
      </c>
      <c r="B22" s="6">
        <v>481.4</v>
      </c>
      <c r="C22" s="7">
        <v>480</v>
      </c>
      <c r="D22" s="7">
        <v>474.2</v>
      </c>
      <c r="E22" s="7">
        <v>475</v>
      </c>
      <c r="F22" s="8">
        <v>473.6</v>
      </c>
      <c r="G22" s="7">
        <v>470.6</v>
      </c>
      <c r="H22" s="11">
        <v>470.1</v>
      </c>
      <c r="I22" s="11">
        <v>473.1</v>
      </c>
      <c r="J22" s="11">
        <v>475.3</v>
      </c>
      <c r="K22" s="11">
        <v>475</v>
      </c>
      <c r="L22" s="11">
        <v>474.7</v>
      </c>
      <c r="M22" s="10">
        <v>474.7</v>
      </c>
    </row>
    <row r="23" spans="1:13" ht="15.75" customHeight="1">
      <c r="A23" s="5" t="s">
        <v>1</v>
      </c>
      <c r="B23" s="6">
        <v>5.4</v>
      </c>
      <c r="C23" s="7">
        <v>5.4</v>
      </c>
      <c r="D23" s="7">
        <v>5.3</v>
      </c>
      <c r="E23" s="7">
        <v>5.3</v>
      </c>
      <c r="F23" s="8">
        <v>5.3</v>
      </c>
      <c r="G23" s="7">
        <v>5.2</v>
      </c>
      <c r="H23" s="11">
        <v>5.2</v>
      </c>
      <c r="I23" s="11">
        <v>5.2</v>
      </c>
      <c r="J23" s="11">
        <v>5.3</v>
      </c>
      <c r="K23" s="11">
        <v>5.3</v>
      </c>
      <c r="L23" s="11">
        <v>5.3</v>
      </c>
      <c r="M23" s="10">
        <v>5.3</v>
      </c>
    </row>
    <row r="24" spans="1:1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3"/>
      <c r="M24" s="10"/>
    </row>
    <row r="25" spans="1:13" ht="16.5" customHeight="1">
      <c r="A25" s="30"/>
      <c r="B25" s="29">
        <v>2013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>
      <c r="A26" s="30"/>
      <c r="B26" s="4" t="s">
        <v>21</v>
      </c>
      <c r="C26" s="4" t="s">
        <v>15</v>
      </c>
      <c r="D26" s="4" t="s">
        <v>14</v>
      </c>
      <c r="E26" s="4" t="s">
        <v>13</v>
      </c>
      <c r="F26" s="4" t="s">
        <v>12</v>
      </c>
      <c r="G26" s="4" t="s">
        <v>11</v>
      </c>
      <c r="H26" s="4" t="s">
        <v>10</v>
      </c>
      <c r="I26" s="4" t="s">
        <v>9</v>
      </c>
      <c r="J26" s="4" t="s">
        <v>8</v>
      </c>
      <c r="K26" s="4" t="s">
        <v>7</v>
      </c>
      <c r="L26" s="4" t="s">
        <v>6</v>
      </c>
      <c r="M26" s="4" t="s">
        <v>5</v>
      </c>
    </row>
    <row r="27" spans="1:13">
      <c r="A27" s="5" t="s">
        <v>20</v>
      </c>
      <c r="B27" s="6">
        <v>9011.7999999999993</v>
      </c>
      <c r="C27" s="7">
        <v>9024.2000000000007</v>
      </c>
      <c r="D27" s="7">
        <v>9025.7999999999993</v>
      </c>
      <c r="E27" s="7">
        <v>9060.4</v>
      </c>
      <c r="F27" s="8">
        <v>9059.7000000000007</v>
      </c>
      <c r="G27" s="7">
        <v>9059.6</v>
      </c>
      <c r="H27" s="11">
        <v>9075</v>
      </c>
      <c r="I27" s="11">
        <v>9076.2000000000007</v>
      </c>
      <c r="J27" s="14">
        <v>9076.7999999999993</v>
      </c>
      <c r="K27" s="11">
        <v>9042.9</v>
      </c>
      <c r="L27" s="11">
        <v>9042.2999999999993</v>
      </c>
      <c r="M27" s="11">
        <v>9042</v>
      </c>
    </row>
    <row r="28" spans="1:13">
      <c r="A28" s="5" t="s">
        <v>3</v>
      </c>
      <c r="B28" s="6">
        <v>8537.1</v>
      </c>
      <c r="C28" s="7">
        <v>8549.7000000000007</v>
      </c>
      <c r="D28" s="7">
        <v>8551.5</v>
      </c>
      <c r="E28" s="7">
        <v>8589.4</v>
      </c>
      <c r="F28" s="8">
        <v>8590.7999999999993</v>
      </c>
      <c r="G28" s="7">
        <v>8591.7999999999993</v>
      </c>
      <c r="H28" s="11">
        <v>8606.9</v>
      </c>
      <c r="I28" s="11">
        <v>8607.9</v>
      </c>
      <c r="J28" s="14">
        <v>8608.2999999999993</v>
      </c>
      <c r="K28" s="11">
        <v>8576.2999999999993</v>
      </c>
      <c r="L28" s="11">
        <v>8575.9</v>
      </c>
      <c r="M28" s="10">
        <v>8575.7999999999993</v>
      </c>
    </row>
    <row r="29" spans="1:13">
      <c r="A29" s="5" t="s">
        <v>2</v>
      </c>
      <c r="B29" s="6">
        <v>474.7</v>
      </c>
      <c r="C29" s="7">
        <v>474.5</v>
      </c>
      <c r="D29" s="7">
        <v>474.3</v>
      </c>
      <c r="E29" s="7">
        <v>471</v>
      </c>
      <c r="F29" s="8">
        <v>468.9</v>
      </c>
      <c r="G29" s="7">
        <v>467.8</v>
      </c>
      <c r="H29" s="11">
        <v>468.1</v>
      </c>
      <c r="I29" s="11">
        <v>468.3</v>
      </c>
      <c r="J29" s="14">
        <v>468.5</v>
      </c>
      <c r="K29" s="11">
        <v>466.6</v>
      </c>
      <c r="L29" s="11">
        <v>466.4</v>
      </c>
      <c r="M29" s="10">
        <v>466.2</v>
      </c>
    </row>
    <row r="30" spans="1:13">
      <c r="A30" s="5" t="s">
        <v>1</v>
      </c>
      <c r="B30" s="6">
        <v>5.3</v>
      </c>
      <c r="C30" s="7">
        <v>5.3</v>
      </c>
      <c r="D30" s="7">
        <v>5.3</v>
      </c>
      <c r="E30" s="7">
        <v>5.2</v>
      </c>
      <c r="F30" s="8">
        <v>5.2</v>
      </c>
      <c r="G30" s="7">
        <v>5.2</v>
      </c>
      <c r="H30" s="11">
        <v>5.2</v>
      </c>
      <c r="I30" s="11">
        <v>5.2</v>
      </c>
      <c r="J30" s="10">
        <v>5.2</v>
      </c>
      <c r="K30" s="11">
        <v>5.2</v>
      </c>
      <c r="L30" s="11">
        <v>5.2</v>
      </c>
      <c r="M30" s="10">
        <v>5.2</v>
      </c>
    </row>
    <row r="31" spans="1:1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>
      <c r="A32" s="30"/>
      <c r="B32" s="29">
        <v>2014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>
      <c r="A33" s="30"/>
      <c r="B33" s="4" t="s">
        <v>21</v>
      </c>
      <c r="C33" s="4" t="s">
        <v>15</v>
      </c>
      <c r="D33" s="4" t="s">
        <v>14</v>
      </c>
      <c r="E33" s="4" t="s">
        <v>13</v>
      </c>
      <c r="F33" s="4" t="s">
        <v>12</v>
      </c>
      <c r="G33" s="4" t="s">
        <v>11</v>
      </c>
      <c r="H33" s="4" t="s">
        <v>10</v>
      </c>
      <c r="I33" s="4" t="s">
        <v>9</v>
      </c>
      <c r="J33" s="4" t="s">
        <v>8</v>
      </c>
      <c r="K33" s="4" t="s">
        <v>7</v>
      </c>
      <c r="L33" s="4" t="s">
        <v>6</v>
      </c>
      <c r="M33" s="4" t="s">
        <v>5</v>
      </c>
    </row>
    <row r="34" spans="1:13">
      <c r="A34" s="5" t="s">
        <v>20</v>
      </c>
      <c r="B34" s="6">
        <v>9051.7000000000007</v>
      </c>
      <c r="C34" s="7">
        <v>9050.9</v>
      </c>
      <c r="D34" s="7">
        <v>9050.7999999999993</v>
      </c>
      <c r="E34" s="7">
        <v>9103.7999999999993</v>
      </c>
      <c r="F34" s="8">
        <v>9116.7000000000007</v>
      </c>
      <c r="G34" s="7">
        <v>9114.7000000000007</v>
      </c>
      <c r="H34" s="11">
        <v>9135.5</v>
      </c>
      <c r="I34" s="11">
        <v>9137.2000000000007</v>
      </c>
      <c r="J34" s="11">
        <v>9137.4</v>
      </c>
      <c r="K34" s="11">
        <v>9109.6</v>
      </c>
      <c r="L34" s="11">
        <v>9109.6</v>
      </c>
      <c r="M34" s="10">
        <v>9109.9</v>
      </c>
    </row>
    <row r="35" spans="1:13">
      <c r="A35" s="5" t="s">
        <v>3</v>
      </c>
      <c r="B35" s="6">
        <v>8586.9</v>
      </c>
      <c r="C35" s="7">
        <v>8587.1</v>
      </c>
      <c r="D35" s="7">
        <v>8587.2999999999993</v>
      </c>
      <c r="E35" s="7">
        <v>8641.7999999999993</v>
      </c>
      <c r="F35" s="8">
        <v>8655.4</v>
      </c>
      <c r="G35" s="7">
        <v>8654.9</v>
      </c>
      <c r="H35" s="11">
        <v>8677.1</v>
      </c>
      <c r="I35" s="11">
        <v>8679.4</v>
      </c>
      <c r="J35" s="11">
        <v>8679.2999999999993</v>
      </c>
      <c r="K35" s="11">
        <v>8651.2000000000007</v>
      </c>
      <c r="L35" s="11">
        <v>8651</v>
      </c>
      <c r="M35" s="10">
        <v>8651.1</v>
      </c>
    </row>
    <row r="36" spans="1:13">
      <c r="A36" s="5" t="s">
        <v>2</v>
      </c>
      <c r="B36" s="6">
        <v>464.8</v>
      </c>
      <c r="C36" s="7">
        <v>463.8</v>
      </c>
      <c r="D36" s="7">
        <v>463.5</v>
      </c>
      <c r="E36" s="7">
        <v>462</v>
      </c>
      <c r="F36" s="8">
        <v>461.3</v>
      </c>
      <c r="G36" s="7">
        <v>459.8</v>
      </c>
      <c r="H36" s="11">
        <v>458.4</v>
      </c>
      <c r="I36" s="11">
        <v>457.8</v>
      </c>
      <c r="J36" s="11">
        <v>458.1</v>
      </c>
      <c r="K36" s="11">
        <v>458.4</v>
      </c>
      <c r="L36" s="11">
        <v>458.6</v>
      </c>
      <c r="M36" s="10">
        <v>458.8</v>
      </c>
    </row>
    <row r="37" spans="1:13">
      <c r="A37" s="5" t="s">
        <v>1</v>
      </c>
      <c r="B37" s="6">
        <v>5.0999999999999996</v>
      </c>
      <c r="C37" s="7">
        <v>5.0999999999999996</v>
      </c>
      <c r="D37" s="7">
        <v>5.0999999999999996</v>
      </c>
      <c r="E37" s="7">
        <v>5.0999999999999996</v>
      </c>
      <c r="F37" s="8">
        <v>5.0999999999999996</v>
      </c>
      <c r="G37" s="7">
        <v>5</v>
      </c>
      <c r="H37" s="11">
        <v>5</v>
      </c>
      <c r="I37" s="11">
        <v>5</v>
      </c>
      <c r="J37" s="11">
        <v>5</v>
      </c>
      <c r="K37" s="11">
        <v>5</v>
      </c>
      <c r="L37" s="11">
        <v>5</v>
      </c>
      <c r="M37" s="11">
        <v>5</v>
      </c>
    </row>
    <row r="38" spans="1:1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>
      <c r="A39" s="30"/>
      <c r="B39" s="29">
        <v>2015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>
      <c r="A40" s="30"/>
      <c r="B40" s="4" t="s">
        <v>21</v>
      </c>
      <c r="C40" s="4" t="s">
        <v>15</v>
      </c>
      <c r="D40" s="4" t="s">
        <v>14</v>
      </c>
      <c r="E40" s="4" t="s">
        <v>13</v>
      </c>
      <c r="F40" s="4" t="s">
        <v>12</v>
      </c>
      <c r="G40" s="4" t="s">
        <v>11</v>
      </c>
      <c r="H40" s="4" t="s">
        <v>10</v>
      </c>
      <c r="I40" s="4" t="s">
        <v>9</v>
      </c>
      <c r="J40" s="4" t="s">
        <v>8</v>
      </c>
      <c r="K40" s="4" t="s">
        <v>7</v>
      </c>
      <c r="L40" s="4" t="s">
        <v>6</v>
      </c>
      <c r="M40" s="4" t="s">
        <v>5</v>
      </c>
    </row>
    <row r="41" spans="1:13">
      <c r="A41" s="5" t="s">
        <v>20</v>
      </c>
      <c r="B41" s="6">
        <v>8933.6</v>
      </c>
      <c r="C41" s="7">
        <v>8866</v>
      </c>
      <c r="D41" s="7">
        <v>8890.2000000000007</v>
      </c>
      <c r="E41" s="7">
        <v>9023.4</v>
      </c>
      <c r="F41" s="8">
        <v>9023.9</v>
      </c>
      <c r="G41" s="7">
        <v>9024.1</v>
      </c>
      <c r="H41" s="11">
        <v>9076.9</v>
      </c>
      <c r="I41" s="11">
        <v>9080.5</v>
      </c>
      <c r="J41" s="11">
        <v>9077.7999999999993</v>
      </c>
      <c r="K41" s="11">
        <v>8959.2999999999993</v>
      </c>
      <c r="L41" s="11">
        <v>8959.4</v>
      </c>
      <c r="M41" s="10">
        <v>8966.7000000000007</v>
      </c>
    </row>
    <row r="42" spans="1:13">
      <c r="A42" s="5" t="s">
        <v>3</v>
      </c>
      <c r="B42" s="6">
        <v>8483</v>
      </c>
      <c r="C42" s="7">
        <v>8420</v>
      </c>
      <c r="D42" s="7">
        <v>8444.2999999999993</v>
      </c>
      <c r="E42" s="7">
        <v>8574.9</v>
      </c>
      <c r="F42" s="8">
        <v>8575.2999999999993</v>
      </c>
      <c r="G42" s="7">
        <v>8575.7000000000007</v>
      </c>
      <c r="H42" s="11">
        <v>8630.9</v>
      </c>
      <c r="I42" s="11">
        <v>8637.4</v>
      </c>
      <c r="J42" s="11">
        <v>8635.5</v>
      </c>
      <c r="K42" s="11">
        <v>8512.7999999999993</v>
      </c>
      <c r="L42" s="11">
        <v>8508.4</v>
      </c>
      <c r="M42" s="10">
        <v>8510.9</v>
      </c>
    </row>
    <row r="43" spans="1:13">
      <c r="A43" s="5" t="s">
        <v>2</v>
      </c>
      <c r="B43" s="6">
        <v>450.5</v>
      </c>
      <c r="C43" s="7">
        <v>446</v>
      </c>
      <c r="D43" s="7">
        <v>445.7</v>
      </c>
      <c r="E43" s="7">
        <v>448.5</v>
      </c>
      <c r="F43" s="8">
        <v>448.6</v>
      </c>
      <c r="G43" s="7">
        <v>448.4</v>
      </c>
      <c r="H43" s="11">
        <v>446</v>
      </c>
      <c r="I43" s="11">
        <v>443.1</v>
      </c>
      <c r="J43" s="11">
        <v>442.3</v>
      </c>
      <c r="K43" s="11">
        <v>446.5</v>
      </c>
      <c r="L43" s="11">
        <v>451</v>
      </c>
      <c r="M43" s="11">
        <v>455.8</v>
      </c>
    </row>
    <row r="44" spans="1:13">
      <c r="A44" s="5" t="s">
        <v>1</v>
      </c>
      <c r="B44" s="6">
        <v>5</v>
      </c>
      <c r="C44" s="7">
        <v>5</v>
      </c>
      <c r="D44" s="7">
        <v>5</v>
      </c>
      <c r="E44" s="7">
        <v>5</v>
      </c>
      <c r="F44" s="8">
        <v>5</v>
      </c>
      <c r="G44" s="7">
        <v>5</v>
      </c>
      <c r="H44" s="11">
        <v>4.9000000000000004</v>
      </c>
      <c r="I44" s="11">
        <v>4.9000000000000004</v>
      </c>
      <c r="J44" s="11">
        <v>4.9000000000000004</v>
      </c>
      <c r="K44" s="11">
        <v>5</v>
      </c>
      <c r="L44" s="11">
        <v>5</v>
      </c>
      <c r="M44" s="11">
        <v>5.0999999999999996</v>
      </c>
    </row>
    <row r="45" spans="1:1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>
      <c r="A46" s="30"/>
      <c r="B46" s="29">
        <v>2016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spans="1:13">
      <c r="A47" s="30"/>
      <c r="B47" s="4" t="s">
        <v>16</v>
      </c>
      <c r="C47" s="4" t="s">
        <v>15</v>
      </c>
      <c r="D47" s="4" t="s">
        <v>14</v>
      </c>
      <c r="E47" s="4" t="s">
        <v>13</v>
      </c>
      <c r="F47" s="4" t="s">
        <v>12</v>
      </c>
      <c r="G47" s="4" t="s">
        <v>11</v>
      </c>
      <c r="H47" s="4" t="s">
        <v>10</v>
      </c>
      <c r="I47" s="4" t="s">
        <v>9</v>
      </c>
      <c r="J47" s="4" t="s">
        <v>8</v>
      </c>
      <c r="K47" s="4" t="s">
        <v>7</v>
      </c>
      <c r="L47" s="4" t="s">
        <v>6</v>
      </c>
      <c r="M47" s="4" t="s">
        <v>5</v>
      </c>
    </row>
    <row r="48" spans="1:13">
      <c r="A48" s="5" t="s">
        <v>19</v>
      </c>
      <c r="B48" s="6">
        <v>8847.2000000000007</v>
      </c>
      <c r="C48" s="7">
        <v>8829.7000000000007</v>
      </c>
      <c r="D48" s="7">
        <v>8829.2999999999993</v>
      </c>
      <c r="E48" s="7">
        <v>8885.5</v>
      </c>
      <c r="F48" s="8">
        <v>8933.2000000000007</v>
      </c>
      <c r="G48" s="7">
        <v>8978.2000000000007</v>
      </c>
      <c r="H48" s="11">
        <v>9015.5</v>
      </c>
      <c r="I48" s="11">
        <v>9039.7999999999993</v>
      </c>
      <c r="J48" s="11">
        <v>9038.6</v>
      </c>
      <c r="K48" s="11">
        <v>9008.2999999999993</v>
      </c>
      <c r="L48" s="11">
        <v>8960.7000000000007</v>
      </c>
      <c r="M48" s="10">
        <v>8921.7999999999993</v>
      </c>
    </row>
    <row r="49" spans="1:16">
      <c r="A49" s="5" t="s">
        <v>3</v>
      </c>
      <c r="B49" s="6">
        <v>8396.9</v>
      </c>
      <c r="C49" s="7">
        <v>8383.9</v>
      </c>
      <c r="D49" s="7">
        <v>8384.4</v>
      </c>
      <c r="E49" s="7">
        <v>8439</v>
      </c>
      <c r="F49" s="8">
        <v>8485.2000000000007</v>
      </c>
      <c r="G49" s="7">
        <v>8530.5</v>
      </c>
      <c r="H49" s="11">
        <v>8569.6</v>
      </c>
      <c r="I49" s="11">
        <v>8595.6</v>
      </c>
      <c r="J49" s="11">
        <v>8594.6</v>
      </c>
      <c r="K49" s="11">
        <v>8566.1</v>
      </c>
      <c r="L49" s="11">
        <v>8519.5</v>
      </c>
      <c r="M49" s="10">
        <v>8481.2999999999993</v>
      </c>
    </row>
    <row r="50" spans="1:16">
      <c r="A50" s="5" t="s">
        <v>2</v>
      </c>
      <c r="B50" s="6">
        <v>450.3</v>
      </c>
      <c r="C50" s="7">
        <v>445.8</v>
      </c>
      <c r="D50" s="7">
        <v>444.9</v>
      </c>
      <c r="E50" s="7">
        <v>446.5</v>
      </c>
      <c r="F50" s="8">
        <v>448</v>
      </c>
      <c r="G50" s="7">
        <v>447.7</v>
      </c>
      <c r="H50" s="11">
        <v>445.9</v>
      </c>
      <c r="I50" s="11">
        <v>444.2</v>
      </c>
      <c r="J50" s="11">
        <v>444</v>
      </c>
      <c r="K50" s="11">
        <v>442.2</v>
      </c>
      <c r="L50" s="11">
        <v>441.2</v>
      </c>
      <c r="M50" s="11">
        <v>440.5</v>
      </c>
    </row>
    <row r="51" spans="1:16">
      <c r="A51" s="5" t="s">
        <v>1</v>
      </c>
      <c r="B51" s="6">
        <v>5.0999999999999996</v>
      </c>
      <c r="C51" s="7">
        <v>5.0999999999999996</v>
      </c>
      <c r="D51" s="7">
        <v>5</v>
      </c>
      <c r="E51" s="7">
        <v>5</v>
      </c>
      <c r="F51" s="8">
        <v>5</v>
      </c>
      <c r="G51" s="7">
        <v>5</v>
      </c>
      <c r="H51" s="11">
        <v>4.9000000000000004</v>
      </c>
      <c r="I51" s="11">
        <v>4.9000000000000004</v>
      </c>
      <c r="J51" s="11">
        <v>4.9000000000000004</v>
      </c>
      <c r="K51" s="11">
        <v>4.9000000000000004</v>
      </c>
      <c r="L51" s="11">
        <v>4.9000000000000004</v>
      </c>
      <c r="M51" s="11">
        <v>4.9000000000000004</v>
      </c>
    </row>
    <row r="52" spans="1:1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6">
      <c r="A53" s="30"/>
      <c r="B53" s="29">
        <v>2017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</row>
    <row r="54" spans="1:16">
      <c r="A54" s="30"/>
      <c r="B54" s="4" t="s">
        <v>16</v>
      </c>
      <c r="C54" s="4" t="s">
        <v>15</v>
      </c>
      <c r="D54" s="4" t="s">
        <v>14</v>
      </c>
      <c r="E54" s="4" t="s">
        <v>13</v>
      </c>
      <c r="F54" s="4" t="s">
        <v>12</v>
      </c>
      <c r="G54" s="4" t="s">
        <v>11</v>
      </c>
      <c r="H54" s="4" t="s">
        <v>10</v>
      </c>
      <c r="I54" s="4" t="s">
        <v>9</v>
      </c>
      <c r="J54" s="4" t="s">
        <v>8</v>
      </c>
      <c r="K54" s="4" t="s">
        <v>7</v>
      </c>
      <c r="L54" s="4" t="s">
        <v>6</v>
      </c>
      <c r="M54" s="4" t="s">
        <v>5</v>
      </c>
    </row>
    <row r="55" spans="1:16">
      <c r="A55" s="5" t="s">
        <v>4</v>
      </c>
      <c r="B55" s="6">
        <v>8888.7000000000007</v>
      </c>
      <c r="C55" s="7">
        <v>8889.2000000000007</v>
      </c>
      <c r="D55" s="7">
        <v>8902.2999999999993</v>
      </c>
      <c r="E55" s="7">
        <v>8957</v>
      </c>
      <c r="F55" s="8">
        <v>8989.4</v>
      </c>
      <c r="G55" s="7">
        <v>8994.5</v>
      </c>
      <c r="H55" s="11">
        <v>9012.2000000000007</v>
      </c>
      <c r="I55" s="11">
        <v>9013.4</v>
      </c>
      <c r="J55" s="11">
        <v>9013.7000000000007</v>
      </c>
      <c r="K55" s="15">
        <v>8995</v>
      </c>
      <c r="L55" s="15">
        <v>8977</v>
      </c>
      <c r="M55" s="15">
        <v>8969.7999999999993</v>
      </c>
    </row>
    <row r="56" spans="1:16">
      <c r="A56" s="5" t="s">
        <v>3</v>
      </c>
      <c r="B56" s="6">
        <v>8449</v>
      </c>
      <c r="C56" s="7">
        <v>8450.1</v>
      </c>
      <c r="D56" s="7">
        <v>8463.5</v>
      </c>
      <c r="E56" s="7">
        <v>8517.6</v>
      </c>
      <c r="F56" s="8">
        <v>8550</v>
      </c>
      <c r="G56" s="7">
        <v>8555.4</v>
      </c>
      <c r="H56" s="11">
        <v>8572</v>
      </c>
      <c r="I56" s="11">
        <v>8572.1</v>
      </c>
      <c r="J56" s="11">
        <v>8572.2000000000007</v>
      </c>
      <c r="K56" s="15">
        <v>8555.1</v>
      </c>
      <c r="L56" s="15">
        <v>8538</v>
      </c>
      <c r="M56" s="16">
        <v>8530.7999999999993</v>
      </c>
    </row>
    <row r="57" spans="1:16">
      <c r="A57" s="5" t="s">
        <v>2</v>
      </c>
      <c r="B57" s="6">
        <v>439.7</v>
      </c>
      <c r="C57" s="7">
        <v>439.1</v>
      </c>
      <c r="D57" s="7">
        <v>438.8</v>
      </c>
      <c r="E57" s="7">
        <v>439.4</v>
      </c>
      <c r="F57" s="8">
        <v>439.4</v>
      </c>
      <c r="G57" s="7">
        <v>439.1</v>
      </c>
      <c r="H57" s="11">
        <v>440.2</v>
      </c>
      <c r="I57" s="11">
        <v>441.3</v>
      </c>
      <c r="J57" s="11">
        <v>441.5</v>
      </c>
      <c r="K57" s="15">
        <v>439.9</v>
      </c>
      <c r="L57" s="15">
        <v>439</v>
      </c>
      <c r="M57" s="15">
        <v>439</v>
      </c>
    </row>
    <row r="58" spans="1:16">
      <c r="A58" s="5" t="s">
        <v>1</v>
      </c>
      <c r="B58" s="6">
        <v>4.9000000000000004</v>
      </c>
      <c r="C58" s="7">
        <v>4.9000000000000004</v>
      </c>
      <c r="D58" s="7">
        <v>4.9000000000000004</v>
      </c>
      <c r="E58" s="7">
        <v>4.9000000000000004</v>
      </c>
      <c r="F58" s="8">
        <v>4.9000000000000004</v>
      </c>
      <c r="G58" s="7">
        <v>4.9000000000000004</v>
      </c>
      <c r="H58" s="11">
        <v>4.9000000000000004</v>
      </c>
      <c r="I58" s="11">
        <v>4.9000000000000004</v>
      </c>
      <c r="J58" s="11">
        <v>4.9000000000000004</v>
      </c>
      <c r="K58" s="15">
        <v>4.9000000000000004</v>
      </c>
      <c r="L58" s="15">
        <v>4.9000000000000004</v>
      </c>
      <c r="M58" s="15">
        <v>4.9000000000000004</v>
      </c>
    </row>
    <row r="59" spans="1:16">
      <c r="A59" s="5"/>
      <c r="B59" s="6"/>
      <c r="C59" s="7"/>
      <c r="D59" s="7"/>
      <c r="E59" s="7"/>
      <c r="F59" s="8"/>
      <c r="G59" s="7"/>
      <c r="H59" s="11"/>
      <c r="I59" s="11"/>
      <c r="J59" s="11"/>
      <c r="K59" s="11"/>
      <c r="L59" s="11"/>
      <c r="M59" s="11"/>
      <c r="P59" s="3" t="s">
        <v>18</v>
      </c>
    </row>
    <row r="60" spans="1:16">
      <c r="A60" s="30"/>
      <c r="B60" s="29">
        <v>2018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6">
      <c r="A61" s="30"/>
      <c r="B61" s="4" t="s">
        <v>16</v>
      </c>
      <c r="C61" s="4" t="s">
        <v>15</v>
      </c>
      <c r="D61" s="4" t="s">
        <v>14</v>
      </c>
      <c r="E61" s="4" t="s">
        <v>13</v>
      </c>
      <c r="F61" s="4" t="s">
        <v>12</v>
      </c>
      <c r="G61" s="4" t="s">
        <v>11</v>
      </c>
      <c r="H61" s="4" t="s">
        <v>10</v>
      </c>
      <c r="I61" s="4" t="s">
        <v>9</v>
      </c>
      <c r="J61" s="4" t="s">
        <v>8</v>
      </c>
      <c r="K61" s="4" t="s">
        <v>7</v>
      </c>
      <c r="L61" s="4" t="s">
        <v>6</v>
      </c>
      <c r="M61" s="4" t="s">
        <v>5</v>
      </c>
    </row>
    <row r="62" spans="1:16">
      <c r="A62" s="5" t="s">
        <v>4</v>
      </c>
      <c r="B62" s="6">
        <v>8991.2999999999993</v>
      </c>
      <c r="C62" s="7">
        <v>9011.1</v>
      </c>
      <c r="D62" s="7">
        <v>9018.6</v>
      </c>
      <c r="E62" s="7">
        <v>9041.5</v>
      </c>
      <c r="F62" s="7">
        <v>9089.4</v>
      </c>
      <c r="G62" s="7">
        <v>9105.7999999999993</v>
      </c>
      <c r="H62" s="7">
        <v>9144.2999999999993</v>
      </c>
      <c r="I62" s="11">
        <v>9174.2999999999993</v>
      </c>
      <c r="J62" s="11">
        <v>9190</v>
      </c>
      <c r="K62" s="15">
        <v>9159.7000000000007</v>
      </c>
      <c r="L62" s="15">
        <v>9149</v>
      </c>
      <c r="M62" s="15">
        <v>9146.1</v>
      </c>
    </row>
    <row r="63" spans="1:16">
      <c r="A63" s="5" t="s">
        <v>3</v>
      </c>
      <c r="B63" s="6">
        <v>8551.7999999999993</v>
      </c>
      <c r="C63" s="7">
        <v>8571.5</v>
      </c>
      <c r="D63" s="7">
        <v>8578.9</v>
      </c>
      <c r="E63" s="7">
        <v>8600.7999999999993</v>
      </c>
      <c r="F63" s="7">
        <v>8647.7999999999993</v>
      </c>
      <c r="G63" s="7">
        <v>8663.9</v>
      </c>
      <c r="H63" s="7">
        <v>8702.6</v>
      </c>
      <c r="I63" s="11">
        <v>8732.7000000000007</v>
      </c>
      <c r="J63" s="11">
        <v>8748.4</v>
      </c>
      <c r="K63" s="10">
        <v>8717.9</v>
      </c>
      <c r="L63" s="15">
        <v>8707.2000000000007</v>
      </c>
      <c r="M63" s="15">
        <v>8704</v>
      </c>
    </row>
    <row r="64" spans="1:16">
      <c r="A64" s="5" t="s">
        <v>2</v>
      </c>
      <c r="B64" s="6">
        <v>439.5</v>
      </c>
      <c r="C64" s="7">
        <v>439.6</v>
      </c>
      <c r="D64" s="7">
        <v>439.7</v>
      </c>
      <c r="E64" s="7">
        <v>440.7</v>
      </c>
      <c r="F64" s="7">
        <v>441.6</v>
      </c>
      <c r="G64" s="7">
        <v>441.9</v>
      </c>
      <c r="H64" s="7">
        <v>441.7</v>
      </c>
      <c r="I64" s="11">
        <v>441.6</v>
      </c>
      <c r="J64" s="11">
        <v>441.6</v>
      </c>
      <c r="K64" s="15">
        <v>441.8</v>
      </c>
      <c r="L64" s="15">
        <v>441.8</v>
      </c>
      <c r="M64" s="15">
        <v>442.1</v>
      </c>
    </row>
    <row r="65" spans="1:13">
      <c r="A65" s="5" t="s">
        <v>1</v>
      </c>
      <c r="B65" s="6">
        <v>4.9000000000000004</v>
      </c>
      <c r="C65" s="7">
        <v>4.9000000000000004</v>
      </c>
      <c r="D65" s="7">
        <v>4.9000000000000004</v>
      </c>
      <c r="E65" s="7">
        <v>4.9000000000000004</v>
      </c>
      <c r="F65" s="7">
        <v>4.9000000000000004</v>
      </c>
      <c r="G65" s="7">
        <v>4.9000000000000004</v>
      </c>
      <c r="H65" s="7">
        <v>4.8</v>
      </c>
      <c r="I65" s="11">
        <v>4.8</v>
      </c>
      <c r="J65" s="11">
        <v>4.8</v>
      </c>
      <c r="K65" s="15">
        <v>4.8</v>
      </c>
      <c r="L65" s="15">
        <v>4.8</v>
      </c>
      <c r="M65" s="15">
        <v>4.8</v>
      </c>
    </row>
    <row r="66" spans="1:13">
      <c r="A66" s="5"/>
      <c r="B66" s="6"/>
      <c r="C66" s="7"/>
      <c r="D66" s="7"/>
      <c r="E66" s="7"/>
      <c r="F66" s="7"/>
      <c r="G66" s="7"/>
      <c r="H66" s="7"/>
      <c r="I66" s="11"/>
      <c r="J66" s="11"/>
      <c r="K66" s="15"/>
      <c r="L66" s="15"/>
      <c r="M66" s="11"/>
    </row>
    <row r="67" spans="1:13">
      <c r="A67" s="30"/>
      <c r="B67" s="29">
        <v>2019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spans="1:13">
      <c r="A68" s="30"/>
      <c r="B68" s="4" t="s">
        <v>16</v>
      </c>
      <c r="C68" s="4" t="s">
        <v>15</v>
      </c>
      <c r="D68" s="4" t="s">
        <v>14</v>
      </c>
      <c r="E68" s="4" t="s">
        <v>13</v>
      </c>
      <c r="F68" s="4" t="s">
        <v>12</v>
      </c>
      <c r="G68" s="4" t="s">
        <v>11</v>
      </c>
      <c r="H68" s="4" t="s">
        <v>10</v>
      </c>
      <c r="I68" s="4" t="s">
        <v>9</v>
      </c>
      <c r="J68" s="4" t="s">
        <v>8</v>
      </c>
      <c r="K68" s="4" t="s">
        <v>7</v>
      </c>
      <c r="L68" s="4" t="s">
        <v>6</v>
      </c>
      <c r="M68" s="4" t="s">
        <v>5</v>
      </c>
    </row>
    <row r="69" spans="1:13">
      <c r="A69" s="5" t="s">
        <v>4</v>
      </c>
      <c r="B69" s="6">
        <v>9159.6</v>
      </c>
      <c r="C69" s="7">
        <v>9178.7999999999993</v>
      </c>
      <c r="D69" s="7">
        <v>9187.7999999999993</v>
      </c>
      <c r="E69" s="7">
        <v>9199.7999999999993</v>
      </c>
      <c r="F69" s="7">
        <v>9204.2999999999993</v>
      </c>
      <c r="G69" s="7">
        <v>9210</v>
      </c>
      <c r="H69" s="7">
        <v>9214.2000000000007</v>
      </c>
      <c r="I69" s="11">
        <v>9215.7000000000007</v>
      </c>
      <c r="J69" s="11">
        <v>9216</v>
      </c>
      <c r="K69" s="15">
        <v>9215.2000000000007</v>
      </c>
      <c r="L69" s="15">
        <v>9215</v>
      </c>
      <c r="M69" s="15">
        <v>9214.2000000000007</v>
      </c>
    </row>
    <row r="70" spans="1:13">
      <c r="A70" s="5" t="s">
        <v>3</v>
      </c>
      <c r="B70" s="6">
        <v>8716.9</v>
      </c>
      <c r="C70" s="7">
        <v>8735.7000000000007</v>
      </c>
      <c r="D70" s="7">
        <v>8744.9</v>
      </c>
      <c r="E70" s="7">
        <v>8757.5</v>
      </c>
      <c r="F70" s="7">
        <v>8762.5</v>
      </c>
      <c r="G70" s="7">
        <v>8768.7000000000007</v>
      </c>
      <c r="H70" s="7">
        <v>8772.5</v>
      </c>
      <c r="I70" s="11">
        <v>8773.4</v>
      </c>
      <c r="J70" s="11">
        <v>8773.7000000000007</v>
      </c>
      <c r="K70" s="15">
        <v>8773.4</v>
      </c>
      <c r="L70" s="15">
        <v>8773.6</v>
      </c>
      <c r="M70" s="16">
        <v>8773.2000000000007</v>
      </c>
    </row>
    <row r="71" spans="1:13">
      <c r="A71" s="5" t="s">
        <v>2</v>
      </c>
      <c r="B71" s="6">
        <v>442.7</v>
      </c>
      <c r="C71" s="7">
        <v>443.1</v>
      </c>
      <c r="D71" s="7">
        <v>442.9</v>
      </c>
      <c r="E71" s="7">
        <v>442.3</v>
      </c>
      <c r="F71" s="7">
        <v>441.8</v>
      </c>
      <c r="G71" s="7">
        <v>441.3</v>
      </c>
      <c r="H71" s="7">
        <v>441.7</v>
      </c>
      <c r="I71" s="11">
        <v>442.3</v>
      </c>
      <c r="J71" s="11">
        <v>442.3</v>
      </c>
      <c r="K71" s="15">
        <v>441.8</v>
      </c>
      <c r="L71" s="15">
        <v>441.4</v>
      </c>
      <c r="M71" s="15">
        <v>441</v>
      </c>
    </row>
    <row r="72" spans="1:13">
      <c r="A72" s="5" t="s">
        <v>1</v>
      </c>
      <c r="B72" s="6">
        <v>4.8</v>
      </c>
      <c r="C72" s="7">
        <v>4.8</v>
      </c>
      <c r="D72" s="7">
        <v>4.8</v>
      </c>
      <c r="E72" s="7">
        <v>4.8</v>
      </c>
      <c r="F72" s="7">
        <v>4.8</v>
      </c>
      <c r="G72" s="7">
        <v>4.8</v>
      </c>
      <c r="H72" s="7">
        <v>4.8</v>
      </c>
      <c r="I72" s="11">
        <v>4.8</v>
      </c>
      <c r="J72" s="11">
        <v>4.8</v>
      </c>
      <c r="K72" s="15">
        <v>4.8</v>
      </c>
      <c r="L72" s="15">
        <v>4.8</v>
      </c>
      <c r="M72" s="15">
        <v>4.8</v>
      </c>
    </row>
    <row r="73" spans="1:13">
      <c r="A73" s="5"/>
      <c r="B73" s="6"/>
      <c r="C73" s="7"/>
      <c r="D73" s="7"/>
      <c r="E73" s="7"/>
      <c r="F73" s="7"/>
      <c r="G73" s="7"/>
      <c r="H73" s="7"/>
      <c r="I73" s="11"/>
      <c r="J73" s="11"/>
      <c r="K73" s="15"/>
      <c r="L73" s="15"/>
      <c r="M73" s="11"/>
    </row>
    <row r="74" spans="1:13">
      <c r="A74" s="30"/>
      <c r="B74" s="29" t="s">
        <v>17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</row>
    <row r="75" spans="1:13">
      <c r="A75" s="30"/>
      <c r="B75" s="4" t="s">
        <v>16</v>
      </c>
      <c r="C75" s="4" t="s">
        <v>15</v>
      </c>
      <c r="D75" s="4" t="s">
        <v>14</v>
      </c>
      <c r="E75" s="4" t="s">
        <v>13</v>
      </c>
      <c r="F75" s="4" t="s">
        <v>12</v>
      </c>
      <c r="G75" s="4" t="s">
        <v>11</v>
      </c>
      <c r="H75" s="4" t="s">
        <v>10</v>
      </c>
      <c r="I75" s="4" t="s">
        <v>9</v>
      </c>
      <c r="J75" s="4" t="s">
        <v>8</v>
      </c>
      <c r="K75" s="4" t="s">
        <v>7</v>
      </c>
      <c r="L75" s="4" t="s">
        <v>6</v>
      </c>
      <c r="M75" s="4" t="s">
        <v>5</v>
      </c>
    </row>
    <row r="76" spans="1:13">
      <c r="A76" s="5" t="s">
        <v>4</v>
      </c>
      <c r="B76" s="6">
        <v>9214.6</v>
      </c>
      <c r="C76" s="7">
        <v>9202.5</v>
      </c>
      <c r="D76" s="7">
        <v>9192.7000000000007</v>
      </c>
      <c r="E76" s="7"/>
      <c r="F76" s="7"/>
      <c r="G76" s="7"/>
      <c r="H76" s="7"/>
      <c r="I76" s="11"/>
      <c r="J76" s="11"/>
      <c r="K76" s="15"/>
      <c r="L76" s="15"/>
      <c r="M76" s="15"/>
    </row>
    <row r="77" spans="1:13">
      <c r="A77" s="5" t="s">
        <v>3</v>
      </c>
      <c r="B77" s="6">
        <v>8773.4</v>
      </c>
      <c r="C77" s="7">
        <v>8760.9</v>
      </c>
      <c r="D77" s="7">
        <v>8750.1</v>
      </c>
      <c r="E77" s="7"/>
      <c r="F77" s="7"/>
      <c r="G77" s="7"/>
      <c r="H77" s="7"/>
      <c r="I77" s="11"/>
      <c r="J77" s="11"/>
      <c r="K77" s="15"/>
      <c r="L77" s="15"/>
      <c r="M77" s="16"/>
    </row>
    <row r="78" spans="1:13">
      <c r="A78" s="5" t="s">
        <v>2</v>
      </c>
      <c r="B78" s="6">
        <v>441.2</v>
      </c>
      <c r="C78" s="7">
        <v>441.6</v>
      </c>
      <c r="D78" s="7">
        <v>442.6</v>
      </c>
      <c r="E78" s="7"/>
      <c r="F78" s="7"/>
      <c r="G78" s="7"/>
      <c r="H78" s="7"/>
      <c r="I78" s="11"/>
      <c r="J78" s="11"/>
      <c r="K78" s="15"/>
      <c r="L78" s="15"/>
      <c r="M78" s="15"/>
    </row>
    <row r="79" spans="1:13">
      <c r="A79" s="5" t="s">
        <v>1</v>
      </c>
      <c r="B79" s="6">
        <v>4.8</v>
      </c>
      <c r="C79" s="7">
        <v>4.8</v>
      </c>
      <c r="D79" s="7">
        <v>4.8</v>
      </c>
      <c r="E79" s="7"/>
      <c r="F79" s="7"/>
      <c r="G79" s="7"/>
      <c r="H79" s="7"/>
      <c r="I79" s="11"/>
      <c r="J79" s="11"/>
      <c r="K79" s="15"/>
      <c r="L79" s="15"/>
      <c r="M79" s="15"/>
    </row>
    <row r="80" spans="1:13">
      <c r="A80" s="1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>
      <c r="A81" s="30"/>
      <c r="B81" s="29">
        <v>2021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>
      <c r="A82" s="30"/>
      <c r="B82" s="4" t="s">
        <v>16</v>
      </c>
      <c r="C82" s="4" t="s">
        <v>15</v>
      </c>
      <c r="D82" s="4" t="s">
        <v>14</v>
      </c>
      <c r="E82" s="4" t="s">
        <v>13</v>
      </c>
      <c r="F82" s="4" t="s">
        <v>12</v>
      </c>
      <c r="G82" s="4" t="s">
        <v>11</v>
      </c>
      <c r="H82" s="4" t="s">
        <v>10</v>
      </c>
      <c r="I82" s="4" t="s">
        <v>9</v>
      </c>
      <c r="J82" s="4" t="s">
        <v>8</v>
      </c>
      <c r="K82" s="4" t="s">
        <v>7</v>
      </c>
      <c r="L82" s="4" t="s">
        <v>6</v>
      </c>
      <c r="M82" s="4" t="s">
        <v>5</v>
      </c>
    </row>
    <row r="83" spans="1:13">
      <c r="A83" s="5" t="s">
        <v>4</v>
      </c>
      <c r="B83" s="6"/>
      <c r="C83" s="7"/>
      <c r="D83" s="7"/>
      <c r="E83" s="7"/>
      <c r="F83" s="7"/>
      <c r="G83" s="7"/>
      <c r="H83" s="7">
        <v>9263.7000000000007</v>
      </c>
      <c r="I83" s="11">
        <v>9263.7999999999993</v>
      </c>
      <c r="J83" s="11">
        <v>9263.4</v>
      </c>
      <c r="K83" s="15">
        <v>9257.2999999999993</v>
      </c>
      <c r="L83" s="15">
        <v>9255.5</v>
      </c>
      <c r="M83" s="15">
        <v>9274.1</v>
      </c>
    </row>
    <row r="84" spans="1:13">
      <c r="A84" s="5" t="s">
        <v>3</v>
      </c>
      <c r="B84" s="6"/>
      <c r="C84" s="7"/>
      <c r="D84" s="7"/>
      <c r="E84" s="7"/>
      <c r="F84" s="7"/>
      <c r="G84" s="7"/>
      <c r="H84" s="7">
        <v>8812.9</v>
      </c>
      <c r="I84" s="11">
        <v>8813</v>
      </c>
      <c r="J84" s="11">
        <v>8812.9</v>
      </c>
      <c r="K84" s="15">
        <v>8806.5</v>
      </c>
      <c r="L84" s="15">
        <v>8805</v>
      </c>
      <c r="M84" s="16">
        <v>8824.2000000000007</v>
      </c>
    </row>
    <row r="85" spans="1:13">
      <c r="A85" s="5" t="s">
        <v>2</v>
      </c>
      <c r="B85" s="6"/>
      <c r="C85" s="7"/>
      <c r="D85" s="7"/>
      <c r="E85" s="7"/>
      <c r="F85" s="7"/>
      <c r="G85" s="7"/>
      <c r="H85" s="7">
        <v>450.8</v>
      </c>
      <c r="I85" s="11">
        <v>450.8</v>
      </c>
      <c r="J85" s="11">
        <v>450.5</v>
      </c>
      <c r="K85" s="15">
        <v>450.8</v>
      </c>
      <c r="L85" s="15">
        <v>450.5</v>
      </c>
      <c r="M85" s="15">
        <v>449.9</v>
      </c>
    </row>
    <row r="86" spans="1:13">
      <c r="A86" s="5" t="s">
        <v>1</v>
      </c>
      <c r="B86" s="6"/>
      <c r="C86" s="7"/>
      <c r="D86" s="7"/>
      <c r="E86" s="7"/>
      <c r="F86" s="7"/>
      <c r="G86" s="7"/>
      <c r="H86" s="7">
        <v>4.9000000000000004</v>
      </c>
      <c r="I86" s="11">
        <v>4.9000000000000004</v>
      </c>
      <c r="J86" s="11">
        <v>4.9000000000000004</v>
      </c>
      <c r="K86" s="15">
        <v>4.9000000000000004</v>
      </c>
      <c r="L86" s="15">
        <v>4.9000000000000004</v>
      </c>
      <c r="M86" s="15">
        <v>4.9000000000000004</v>
      </c>
    </row>
    <row r="87" spans="1:13">
      <c r="A87" s="5"/>
      <c r="B87" s="6"/>
      <c r="C87" s="7"/>
      <c r="D87" s="7"/>
      <c r="E87" s="7"/>
      <c r="F87" s="7"/>
      <c r="G87" s="7"/>
      <c r="H87" s="7"/>
      <c r="I87" s="11"/>
      <c r="J87" s="11"/>
      <c r="K87" s="15"/>
      <c r="L87" s="15"/>
      <c r="M87" s="15"/>
    </row>
    <row r="88" spans="1:13">
      <c r="A88" s="30"/>
      <c r="B88" s="29">
        <v>2022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spans="1:13">
      <c r="A89" s="30"/>
      <c r="B89" s="4" t="s">
        <v>16</v>
      </c>
      <c r="C89" s="4" t="s">
        <v>15</v>
      </c>
      <c r="D89" s="4" t="s">
        <v>14</v>
      </c>
      <c r="E89" s="4" t="s">
        <v>13</v>
      </c>
      <c r="F89" s="4" t="s">
        <v>12</v>
      </c>
      <c r="G89" s="4" t="s">
        <v>11</v>
      </c>
      <c r="H89" s="4" t="s">
        <v>10</v>
      </c>
      <c r="I89" s="4" t="s">
        <v>9</v>
      </c>
      <c r="J89" s="4" t="s">
        <v>8</v>
      </c>
      <c r="K89" s="4" t="s">
        <v>7</v>
      </c>
      <c r="L89" s="4" t="s">
        <v>6</v>
      </c>
      <c r="M89" s="4" t="s">
        <v>5</v>
      </c>
    </row>
    <row r="90" spans="1:13">
      <c r="A90" s="5" t="s">
        <v>4</v>
      </c>
      <c r="B90" s="1">
        <v>9419.1</v>
      </c>
      <c r="C90" s="1">
        <v>9420.1</v>
      </c>
      <c r="D90" s="1">
        <v>9419.2999999999993</v>
      </c>
      <c r="E90" s="1">
        <v>9427.4</v>
      </c>
      <c r="F90" s="1">
        <v>9432.2000000000007</v>
      </c>
      <c r="G90" s="1">
        <v>9434.2000000000007</v>
      </c>
      <c r="H90" s="1">
        <v>9434.7999999999993</v>
      </c>
      <c r="I90" s="1">
        <v>9430.1</v>
      </c>
      <c r="J90" s="1">
        <v>9427.5</v>
      </c>
      <c r="K90" s="1">
        <v>9421.5</v>
      </c>
      <c r="L90" s="1">
        <v>9421.1</v>
      </c>
      <c r="M90" s="1">
        <v>9422.2000000000007</v>
      </c>
    </row>
    <row r="91" spans="1:13">
      <c r="A91" s="5" t="s">
        <v>3</v>
      </c>
      <c r="B91" s="1">
        <v>8959.7000000000007</v>
      </c>
      <c r="C91" s="1">
        <v>8959.6</v>
      </c>
      <c r="D91" s="1">
        <v>8959.5</v>
      </c>
      <c r="E91" s="1">
        <v>8967.2000000000007</v>
      </c>
      <c r="F91" s="1">
        <v>8971.9</v>
      </c>
      <c r="G91" s="1">
        <v>8973.9</v>
      </c>
      <c r="H91" s="1">
        <v>8975.4</v>
      </c>
      <c r="I91" s="1">
        <v>8971</v>
      </c>
      <c r="J91" s="1">
        <v>8968.4</v>
      </c>
      <c r="K91" s="1">
        <v>8965.2000000000007</v>
      </c>
      <c r="L91" s="1">
        <v>8965.1</v>
      </c>
      <c r="M91" s="1">
        <v>8966.2000000000007</v>
      </c>
    </row>
    <row r="92" spans="1:13">
      <c r="A92" s="5" t="s">
        <v>2</v>
      </c>
      <c r="B92" s="1">
        <v>459.4</v>
      </c>
      <c r="C92" s="1">
        <v>460.5</v>
      </c>
      <c r="D92" s="1">
        <v>459.8</v>
      </c>
      <c r="E92" s="1">
        <v>460.2</v>
      </c>
      <c r="F92" s="1">
        <v>460.3</v>
      </c>
      <c r="G92" s="1">
        <v>460.3</v>
      </c>
      <c r="H92" s="1">
        <v>459.4</v>
      </c>
      <c r="I92" s="1">
        <v>459.1</v>
      </c>
      <c r="J92" s="1">
        <v>459.1</v>
      </c>
      <c r="K92" s="1">
        <v>456.3</v>
      </c>
      <c r="L92" s="1">
        <v>456</v>
      </c>
      <c r="M92" s="1">
        <v>456</v>
      </c>
    </row>
    <row r="93" spans="1:13">
      <c r="A93" s="5" t="s">
        <v>1</v>
      </c>
      <c r="B93" s="1">
        <v>4.9000000000000004</v>
      </c>
      <c r="C93" s="1">
        <v>4.9000000000000004</v>
      </c>
      <c r="D93" s="1">
        <v>4.9000000000000004</v>
      </c>
      <c r="E93" s="1">
        <v>4.9000000000000004</v>
      </c>
      <c r="F93" s="1">
        <v>4.9000000000000004</v>
      </c>
      <c r="G93" s="1">
        <v>4.9000000000000004</v>
      </c>
      <c r="H93" s="1">
        <v>4.9000000000000004</v>
      </c>
      <c r="I93" s="1">
        <v>4.9000000000000004</v>
      </c>
      <c r="J93" s="1">
        <v>4.9000000000000004</v>
      </c>
      <c r="K93" s="1">
        <v>4.9000000000000004</v>
      </c>
      <c r="L93" s="1">
        <v>4.9000000000000004</v>
      </c>
      <c r="M93" s="1">
        <v>4.9000000000000004</v>
      </c>
    </row>
    <row r="94" spans="1:13">
      <c r="A94" s="30"/>
      <c r="B94" s="29">
        <v>2023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>
      <c r="A95" s="30"/>
      <c r="B95" s="4" t="s">
        <v>16</v>
      </c>
      <c r="C95" s="4" t="s">
        <v>15</v>
      </c>
      <c r="D95" s="4" t="s">
        <v>14</v>
      </c>
      <c r="E95" s="4" t="s">
        <v>13</v>
      </c>
      <c r="F95" s="4" t="s">
        <v>12</v>
      </c>
      <c r="G95" s="4" t="s">
        <v>11</v>
      </c>
      <c r="H95" s="4" t="s">
        <v>10</v>
      </c>
      <c r="I95" s="4" t="s">
        <v>9</v>
      </c>
      <c r="J95" s="4" t="s">
        <v>8</v>
      </c>
      <c r="K95" s="4" t="s">
        <v>7</v>
      </c>
      <c r="L95" s="4" t="s">
        <v>6</v>
      </c>
      <c r="M95" s="4" t="s">
        <v>5</v>
      </c>
    </row>
    <row r="96" spans="1:13">
      <c r="A96" s="5" t="s">
        <v>4</v>
      </c>
      <c r="B96" s="1">
        <v>9471.7999999999993</v>
      </c>
      <c r="C96" s="1">
        <v>9491.2000000000007</v>
      </c>
      <c r="D96" s="1">
        <v>9492.9</v>
      </c>
      <c r="E96" s="1">
        <v>9532.7999999999993</v>
      </c>
      <c r="F96" s="15">
        <v>9573.2000000000007</v>
      </c>
      <c r="G96" s="15">
        <v>9597.1</v>
      </c>
      <c r="H96" s="15">
        <v>9571.5</v>
      </c>
      <c r="I96" s="11">
        <v>9557.6</v>
      </c>
      <c r="J96" s="11">
        <v>9543.4</v>
      </c>
      <c r="K96" s="15">
        <v>9499.2000000000007</v>
      </c>
      <c r="L96" s="15">
        <v>9478.7999999999993</v>
      </c>
      <c r="M96" s="15">
        <v>9486.6</v>
      </c>
    </row>
    <row r="97" spans="1:13">
      <c r="A97" s="5" t="s">
        <v>3</v>
      </c>
      <c r="B97" s="1">
        <v>9017</v>
      </c>
      <c r="C97" s="11">
        <v>9037.7999999999993</v>
      </c>
      <c r="D97" s="11">
        <v>9040.9</v>
      </c>
      <c r="E97" s="15">
        <v>9080</v>
      </c>
      <c r="F97" s="15">
        <v>9120.5</v>
      </c>
      <c r="G97" s="15">
        <v>9144.7999999999993</v>
      </c>
      <c r="H97" s="15">
        <v>9119.7000000000007</v>
      </c>
      <c r="I97" s="11">
        <v>9106</v>
      </c>
      <c r="J97" s="11">
        <v>9092.2999999999993</v>
      </c>
      <c r="K97" s="15">
        <v>9051.6</v>
      </c>
      <c r="L97" s="15">
        <v>9033.1</v>
      </c>
      <c r="M97" s="16">
        <v>9042.2000000000007</v>
      </c>
    </row>
    <row r="98" spans="1:13">
      <c r="A98" s="5" t="s">
        <v>2</v>
      </c>
      <c r="B98" s="1">
        <v>454.8</v>
      </c>
      <c r="C98" s="11">
        <v>453.4</v>
      </c>
      <c r="D98" s="11">
        <v>452</v>
      </c>
      <c r="E98" s="15">
        <v>452.8</v>
      </c>
      <c r="F98" s="15">
        <v>452.7</v>
      </c>
      <c r="G98" s="15">
        <v>452.3</v>
      </c>
      <c r="H98" s="15">
        <v>451.8</v>
      </c>
      <c r="I98" s="11">
        <v>451.6</v>
      </c>
      <c r="J98" s="11">
        <v>451.1</v>
      </c>
      <c r="K98" s="15">
        <v>447.6</v>
      </c>
      <c r="L98" s="15">
        <v>445.7</v>
      </c>
      <c r="M98" s="15">
        <v>444.4</v>
      </c>
    </row>
    <row r="99" spans="1:13">
      <c r="A99" s="5" t="s">
        <v>1</v>
      </c>
      <c r="B99" s="1">
        <v>4.8</v>
      </c>
      <c r="C99" s="1">
        <v>4.8</v>
      </c>
      <c r="D99" s="1">
        <v>4.8</v>
      </c>
      <c r="E99" s="1">
        <v>4.7</v>
      </c>
      <c r="F99" s="15">
        <v>4.7</v>
      </c>
      <c r="G99" s="15">
        <v>4.7</v>
      </c>
      <c r="H99" s="15">
        <v>4.7</v>
      </c>
      <c r="I99" s="11">
        <v>4.7</v>
      </c>
      <c r="J99" s="11">
        <v>4.7</v>
      </c>
      <c r="K99" s="15">
        <v>4.7</v>
      </c>
      <c r="L99" s="15">
        <v>4.7</v>
      </c>
      <c r="M99" s="15">
        <v>4.7</v>
      </c>
    </row>
    <row r="100" spans="1:13">
      <c r="A100" s="18"/>
      <c r="B100" s="19"/>
      <c r="C100" s="19"/>
      <c r="D100" s="19"/>
      <c r="E100" s="19"/>
      <c r="F100" s="20"/>
      <c r="G100" s="20"/>
      <c r="H100" s="20"/>
      <c r="I100" s="21"/>
      <c r="J100" s="21"/>
      <c r="K100" s="20"/>
      <c r="L100" s="20"/>
      <c r="M100" s="20"/>
    </row>
    <row r="101" spans="1:13">
      <c r="A101" s="30"/>
      <c r="B101" s="29">
        <v>2024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spans="1:13">
      <c r="A102" s="30"/>
      <c r="B102" s="4" t="s">
        <v>16</v>
      </c>
      <c r="C102" s="4" t="s">
        <v>15</v>
      </c>
      <c r="D102" s="4" t="s">
        <v>14</v>
      </c>
      <c r="E102" s="4" t="s">
        <v>13</v>
      </c>
      <c r="F102" s="4" t="s">
        <v>12</v>
      </c>
      <c r="G102" s="4" t="s">
        <v>11</v>
      </c>
      <c r="H102" s="4" t="s">
        <v>10</v>
      </c>
      <c r="I102" s="4" t="s">
        <v>9</v>
      </c>
      <c r="J102" s="4" t="s">
        <v>8</v>
      </c>
      <c r="K102" s="4" t="s">
        <v>7</v>
      </c>
      <c r="L102" s="4" t="s">
        <v>6</v>
      </c>
      <c r="M102" s="4" t="s">
        <v>5</v>
      </c>
    </row>
    <row r="103" spans="1:13">
      <c r="A103" s="5" t="s">
        <v>4</v>
      </c>
      <c r="B103" s="1">
        <v>9603.5</v>
      </c>
      <c r="C103" s="1">
        <v>9613.1</v>
      </c>
      <c r="D103" s="1">
        <v>9643.4</v>
      </c>
      <c r="E103" s="1">
        <v>9642</v>
      </c>
      <c r="F103" s="15">
        <v>9641.5</v>
      </c>
      <c r="G103" s="15">
        <v>9640.7000000000007</v>
      </c>
      <c r="H103" s="15">
        <v>9681.2999999999993</v>
      </c>
      <c r="I103" s="11">
        <v>9683.1</v>
      </c>
      <c r="J103" s="11">
        <v>9682.7999999999993</v>
      </c>
      <c r="K103" s="11">
        <v>9650</v>
      </c>
      <c r="L103" s="11">
        <v>9645.2999999999993</v>
      </c>
      <c r="M103" s="11">
        <v>9640.6</v>
      </c>
    </row>
    <row r="104" spans="1:13">
      <c r="A104" s="5" t="s">
        <v>3</v>
      </c>
      <c r="B104" s="1">
        <v>9151.2000000000007</v>
      </c>
      <c r="C104" s="1">
        <v>9160.2000000000007</v>
      </c>
      <c r="D104" s="1">
        <v>9190.5</v>
      </c>
      <c r="E104" s="1">
        <v>9190.2000000000007</v>
      </c>
      <c r="F104" s="15">
        <v>9190.4</v>
      </c>
      <c r="G104" s="15">
        <v>9190.6</v>
      </c>
      <c r="H104" s="15">
        <v>9232.5</v>
      </c>
      <c r="I104" s="11">
        <v>9235.1</v>
      </c>
      <c r="J104" s="11">
        <v>9233.7999999999993</v>
      </c>
      <c r="K104" s="11">
        <v>9201.6</v>
      </c>
      <c r="L104" s="11">
        <v>9197</v>
      </c>
      <c r="M104" s="11">
        <v>9192.4</v>
      </c>
    </row>
    <row r="105" spans="1:13">
      <c r="A105" s="5" t="s">
        <v>2</v>
      </c>
      <c r="B105" s="2">
        <v>452.3</v>
      </c>
      <c r="C105" s="2">
        <v>452.9</v>
      </c>
      <c r="D105" s="2">
        <v>452.9</v>
      </c>
      <c r="E105" s="2">
        <v>451.8</v>
      </c>
      <c r="F105" s="15">
        <v>451.1</v>
      </c>
      <c r="G105" s="15">
        <v>450.1</v>
      </c>
      <c r="H105" s="15">
        <v>448.8</v>
      </c>
      <c r="I105" s="11">
        <v>448</v>
      </c>
      <c r="J105" s="11">
        <v>449</v>
      </c>
      <c r="K105" s="11">
        <v>448.4</v>
      </c>
      <c r="L105" s="11">
        <v>448.3</v>
      </c>
      <c r="M105" s="11">
        <v>448.2</v>
      </c>
    </row>
    <row r="106" spans="1:13">
      <c r="A106" s="5" t="s">
        <v>1</v>
      </c>
      <c r="B106" s="1">
        <v>4.7</v>
      </c>
      <c r="C106" s="1">
        <v>4.7</v>
      </c>
      <c r="D106" s="1">
        <v>4.7</v>
      </c>
      <c r="E106" s="1">
        <v>4.7</v>
      </c>
      <c r="F106" s="15">
        <v>4.7</v>
      </c>
      <c r="G106" s="15">
        <v>4.7</v>
      </c>
      <c r="H106" s="15">
        <v>4.5999999999999996</v>
      </c>
      <c r="I106" s="11">
        <v>4.5999999999999996</v>
      </c>
      <c r="J106" s="11">
        <v>4.5999999999999996</v>
      </c>
      <c r="K106" s="11">
        <v>4.5999999999999996</v>
      </c>
      <c r="L106" s="11">
        <v>4.5999999999999996</v>
      </c>
      <c r="M106" s="11">
        <v>4.5999999999999996</v>
      </c>
    </row>
    <row r="108" spans="1:13">
      <c r="A108" s="30"/>
      <c r="B108" s="29">
        <v>2025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spans="1:13">
      <c r="A109" s="30"/>
      <c r="B109" s="4" t="s">
        <v>16</v>
      </c>
      <c r="C109" s="4" t="s">
        <v>15</v>
      </c>
      <c r="D109" s="4" t="s">
        <v>14</v>
      </c>
      <c r="E109" s="4" t="s">
        <v>13</v>
      </c>
      <c r="F109" s="4" t="s">
        <v>12</v>
      </c>
      <c r="G109" s="4" t="s">
        <v>11</v>
      </c>
      <c r="H109" s="4" t="s">
        <v>10</v>
      </c>
      <c r="I109" s="4" t="s">
        <v>9</v>
      </c>
      <c r="J109" s="4" t="s">
        <v>8</v>
      </c>
      <c r="K109" s="4" t="s">
        <v>7</v>
      </c>
      <c r="L109" s="4" t="s">
        <v>6</v>
      </c>
      <c r="M109" s="4" t="s">
        <v>5</v>
      </c>
    </row>
    <row r="110" spans="1:13">
      <c r="A110" s="5" t="s">
        <v>4</v>
      </c>
      <c r="B110" s="1">
        <v>9733.6</v>
      </c>
      <c r="C110" s="1">
        <v>9735.9</v>
      </c>
      <c r="D110" s="1">
        <v>9735.4</v>
      </c>
      <c r="E110" s="1">
        <v>9748</v>
      </c>
      <c r="F110" s="15">
        <v>9749.5</v>
      </c>
      <c r="G110" s="15">
        <v>9750.1</v>
      </c>
      <c r="H110" s="15">
        <v>9773.1</v>
      </c>
      <c r="I110" s="15">
        <v>9789.7000000000007</v>
      </c>
      <c r="J110" s="11">
        <v>9773.2999999999993</v>
      </c>
      <c r="K110" s="15">
        <v>9735.2999999999993</v>
      </c>
      <c r="L110" s="15">
        <v>9724.9</v>
      </c>
      <c r="M110" s="15">
        <v>9747.6</v>
      </c>
    </row>
    <row r="111" spans="1:13">
      <c r="A111" s="5" t="s">
        <v>3</v>
      </c>
      <c r="B111" s="1">
        <v>9283.4</v>
      </c>
      <c r="C111" s="1">
        <v>9283.7000000000007</v>
      </c>
      <c r="D111" s="1">
        <v>9283.4</v>
      </c>
      <c r="E111" s="1">
        <v>9298.7000000000007</v>
      </c>
      <c r="F111" s="15">
        <v>9300.9</v>
      </c>
      <c r="G111" s="15">
        <v>9301.6</v>
      </c>
      <c r="H111" s="15">
        <v>9324.2000000000007</v>
      </c>
      <c r="I111" s="15">
        <v>9340.7999999999993</v>
      </c>
      <c r="J111" s="11">
        <v>9325.2999999999993</v>
      </c>
      <c r="K111" s="15">
        <v>9288</v>
      </c>
      <c r="L111" s="15">
        <v>9277.2000000000007</v>
      </c>
      <c r="M111" s="16">
        <v>9300.2999999999993</v>
      </c>
    </row>
    <row r="112" spans="1:13">
      <c r="A112" s="5" t="s">
        <v>2</v>
      </c>
      <c r="B112" s="2">
        <v>450.2</v>
      </c>
      <c r="C112" s="2">
        <v>452.2</v>
      </c>
      <c r="D112" s="2">
        <v>452</v>
      </c>
      <c r="E112" s="2">
        <v>449.3</v>
      </c>
      <c r="F112" s="15">
        <v>448.6</v>
      </c>
      <c r="G112" s="15">
        <v>448.5</v>
      </c>
      <c r="H112" s="15">
        <v>448.9</v>
      </c>
      <c r="I112" s="15">
        <v>448.9</v>
      </c>
      <c r="J112" s="11">
        <v>448</v>
      </c>
      <c r="K112" s="15">
        <v>447.3</v>
      </c>
      <c r="L112" s="15">
        <v>447.7</v>
      </c>
      <c r="M112" s="15">
        <v>447.3</v>
      </c>
    </row>
    <row r="113" spans="1:13">
      <c r="A113" s="5" t="s">
        <v>1</v>
      </c>
      <c r="B113" s="1">
        <v>4.5999999999999996</v>
      </c>
      <c r="C113" s="1">
        <v>4.5999999999999996</v>
      </c>
      <c r="D113" s="1">
        <v>4.5999999999999996</v>
      </c>
      <c r="E113" s="1">
        <v>4.5999999999999996</v>
      </c>
      <c r="F113" s="15">
        <v>4.5999999999999996</v>
      </c>
      <c r="G113" s="15">
        <v>4.5999999999999996</v>
      </c>
      <c r="H113" s="15">
        <v>4.5999999999999996</v>
      </c>
      <c r="I113" s="15">
        <v>4.5999999999999996</v>
      </c>
      <c r="J113" s="11">
        <v>4.5999999999999996</v>
      </c>
      <c r="K113" s="15">
        <v>4.5999999999999996</v>
      </c>
      <c r="L113" s="15">
        <v>4.5999999999999996</v>
      </c>
      <c r="M113" s="15">
        <v>4.5999999999999996</v>
      </c>
    </row>
    <row r="115" spans="1:13">
      <c r="A115" s="3" t="s">
        <v>0</v>
      </c>
    </row>
  </sheetData>
  <mergeCells count="33">
    <mergeCell ref="A108:A109"/>
    <mergeCell ref="B108:M108"/>
    <mergeCell ref="A18:A19"/>
    <mergeCell ref="A11:A12"/>
    <mergeCell ref="A46:A47"/>
    <mergeCell ref="B46:M46"/>
    <mergeCell ref="B39:M39"/>
    <mergeCell ref="A39:A40"/>
    <mergeCell ref="A101:A102"/>
    <mergeCell ref="B101:M101"/>
    <mergeCell ref="A94:A95"/>
    <mergeCell ref="B94:M94"/>
    <mergeCell ref="A53:A54"/>
    <mergeCell ref="A67:A68"/>
    <mergeCell ref="A60:A61"/>
    <mergeCell ref="B67:M67"/>
    <mergeCell ref="B2:J2"/>
    <mergeCell ref="A32:A33"/>
    <mergeCell ref="B32:M32"/>
    <mergeCell ref="A25:A26"/>
    <mergeCell ref="B25:M25"/>
    <mergeCell ref="B18:M18"/>
    <mergeCell ref="B4:M4"/>
    <mergeCell ref="A4:A5"/>
    <mergeCell ref="B11:M11"/>
    <mergeCell ref="B53:M53"/>
    <mergeCell ref="B60:M60"/>
    <mergeCell ref="A74:A75"/>
    <mergeCell ref="B74:M74"/>
    <mergeCell ref="A88:A89"/>
    <mergeCell ref="B88:M88"/>
    <mergeCell ref="A81:A82"/>
    <mergeCell ref="B81:M81"/>
  </mergeCells>
  <pageMargins left="0.78740157480314965" right="0.39370078740157483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23C4-F373-4CF3-92EC-A8F54B3D49EB}">
  <dimension ref="A1:M193"/>
  <sheetViews>
    <sheetView tabSelected="1" topLeftCell="A163" workbookViewId="0">
      <selection activeCell="B46" sqref="B46"/>
    </sheetView>
  </sheetViews>
  <sheetFormatPr defaultRowHeight="13.2"/>
  <cols>
    <col min="1" max="1" width="12.6640625" style="22" customWidth="1"/>
    <col min="2" max="2" width="8.88671875" style="32"/>
  </cols>
  <sheetData>
    <row r="1" spans="1:13">
      <c r="A1" s="22" t="s">
        <v>24</v>
      </c>
      <c r="B1" s="32" t="s">
        <v>25</v>
      </c>
    </row>
    <row r="2" spans="1:13">
      <c r="A2" s="22">
        <f>DATE(2010,1,1)</f>
        <v>40179</v>
      </c>
      <c r="B2" s="33">
        <v>6.3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>
      <c r="A3" s="22">
        <f>EDATE(A2,1)</f>
        <v>40210</v>
      </c>
      <c r="B3" s="33">
        <v>6.2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22">
        <f t="shared" ref="A4:C67" si="0">EDATE(A3,1)</f>
        <v>40238</v>
      </c>
      <c r="B4" s="33">
        <v>6.1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>
      <c r="A5" s="22">
        <f t="shared" si="0"/>
        <v>40269</v>
      </c>
      <c r="B5" s="34">
        <v>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>
      <c r="A6" s="22">
        <f t="shared" si="0"/>
        <v>40299</v>
      </c>
      <c r="B6" s="35">
        <v>5.8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>
      <c r="A7" s="22">
        <f t="shared" si="0"/>
        <v>40330</v>
      </c>
      <c r="B7" s="34">
        <v>5.7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>
      <c r="A8" s="22">
        <f t="shared" si="0"/>
        <v>40360</v>
      </c>
      <c r="B8" s="34">
        <v>5.6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>
      <c r="A9" s="22">
        <f t="shared" si="0"/>
        <v>40391</v>
      </c>
      <c r="B9" s="34">
        <v>5.6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>
      <c r="A10" s="22">
        <f t="shared" si="0"/>
        <v>40422</v>
      </c>
      <c r="B10" s="34">
        <v>5.6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>
      <c r="A11" s="22">
        <f t="shared" si="0"/>
        <v>40452</v>
      </c>
      <c r="B11" s="36">
        <v>5.5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1:13">
      <c r="A12" s="22">
        <f t="shared" si="0"/>
        <v>40483</v>
      </c>
      <c r="B12" s="34">
        <v>5.5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>
      <c r="A13" s="22">
        <f t="shared" si="0"/>
        <v>40513</v>
      </c>
      <c r="B13" s="34">
        <v>5.5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>
      <c r="A14" s="22">
        <f t="shared" si="0"/>
        <v>40544</v>
      </c>
      <c r="B14" s="33">
        <v>5.6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>
      <c r="A15" s="22">
        <f t="shared" si="0"/>
        <v>40575</v>
      </c>
      <c r="B15" s="34">
        <v>5.5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>
      <c r="A16" s="22">
        <f t="shared" si="0"/>
        <v>40603</v>
      </c>
      <c r="B16" s="34">
        <v>5.5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>
      <c r="A17" s="22">
        <f t="shared" si="0"/>
        <v>40634</v>
      </c>
      <c r="B17" s="34">
        <v>5.5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>
      <c r="A18" s="22">
        <f t="shared" si="0"/>
        <v>40664</v>
      </c>
      <c r="B18" s="35">
        <v>5.4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>
      <c r="A19" s="22">
        <f t="shared" si="0"/>
        <v>40695</v>
      </c>
      <c r="B19" s="34">
        <v>5.3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>
      <c r="A20" s="22">
        <f t="shared" si="0"/>
        <v>40725</v>
      </c>
      <c r="B20" s="37">
        <v>5.3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22">
        <f t="shared" si="0"/>
        <v>40756</v>
      </c>
      <c r="B21" s="37">
        <v>5.3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A22" s="22">
        <f t="shared" si="0"/>
        <v>40787</v>
      </c>
      <c r="B22" s="37">
        <v>5.3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22">
        <f t="shared" si="0"/>
        <v>40817</v>
      </c>
      <c r="B23" s="37">
        <v>5.3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>
      <c r="A24" s="22">
        <f t="shared" si="0"/>
        <v>40848</v>
      </c>
      <c r="B24" s="37">
        <v>5.4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>
      <c r="A25" s="22">
        <f t="shared" si="0"/>
        <v>40878</v>
      </c>
      <c r="B25" s="37">
        <v>5.4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>
      <c r="A26" s="22">
        <f t="shared" si="0"/>
        <v>40909</v>
      </c>
      <c r="B26" s="33">
        <v>5.4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>
      <c r="A27" s="22">
        <f t="shared" si="0"/>
        <v>40940</v>
      </c>
      <c r="B27" s="34">
        <v>5.4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>
      <c r="A28" s="22">
        <f t="shared" si="0"/>
        <v>40969</v>
      </c>
      <c r="B28" s="34">
        <v>5.3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>
      <c r="A29" s="22">
        <f t="shared" si="0"/>
        <v>41000</v>
      </c>
      <c r="B29" s="34">
        <v>5.3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>
      <c r="A30" s="22">
        <f t="shared" si="0"/>
        <v>41030</v>
      </c>
      <c r="B30" s="35">
        <v>5.3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>
      <c r="A31" s="22">
        <f t="shared" si="0"/>
        <v>41061</v>
      </c>
      <c r="B31" s="34">
        <v>5.2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>
      <c r="A32" s="22">
        <f t="shared" si="0"/>
        <v>41091</v>
      </c>
      <c r="B32" s="37">
        <v>5.2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22">
        <f t="shared" si="0"/>
        <v>41122</v>
      </c>
      <c r="B33" s="37">
        <v>5.2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>
      <c r="A34" s="22">
        <f t="shared" si="0"/>
        <v>41153</v>
      </c>
      <c r="B34" s="37">
        <v>5.3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>
      <c r="A35" s="22">
        <f t="shared" si="0"/>
        <v>41183</v>
      </c>
      <c r="B35" s="37">
        <v>5.3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>
      <c r="A36" s="22">
        <f t="shared" si="0"/>
        <v>41214</v>
      </c>
      <c r="B36" s="37">
        <v>5.3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>
      <c r="A37" s="22">
        <f t="shared" si="0"/>
        <v>41244</v>
      </c>
      <c r="B37" s="37">
        <v>5.3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>
      <c r="A38" s="22">
        <f t="shared" si="0"/>
        <v>41275</v>
      </c>
      <c r="B38" s="33">
        <v>5.3</v>
      </c>
      <c r="C38" s="24"/>
      <c r="D38" s="24"/>
      <c r="E38" s="24"/>
      <c r="F38" s="25"/>
      <c r="G38" s="24"/>
      <c r="H38" s="21"/>
      <c r="I38" s="21"/>
      <c r="J38" s="27"/>
      <c r="K38" s="21"/>
      <c r="L38" s="21"/>
      <c r="M38" s="27"/>
    </row>
    <row r="39" spans="1:13">
      <c r="A39" s="22">
        <f t="shared" si="0"/>
        <v>41306</v>
      </c>
      <c r="B39" s="34">
        <v>5.3</v>
      </c>
      <c r="C39" s="19"/>
      <c r="D39" s="19"/>
      <c r="E39" s="19"/>
      <c r="F39" s="20"/>
      <c r="G39" s="20"/>
      <c r="H39" s="20"/>
      <c r="I39" s="20"/>
      <c r="J39" s="21"/>
      <c r="K39" s="20"/>
      <c r="L39" s="20"/>
      <c r="M39" s="20"/>
    </row>
    <row r="40" spans="1:13">
      <c r="A40" s="22">
        <f t="shared" si="0"/>
        <v>41334</v>
      </c>
      <c r="B40" s="34">
        <v>5.3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>
      <c r="A41" s="22">
        <f t="shared" si="0"/>
        <v>41365</v>
      </c>
      <c r="B41" s="34">
        <v>5.2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>
      <c r="A42" s="22">
        <f t="shared" si="0"/>
        <v>41395</v>
      </c>
      <c r="B42" s="35">
        <v>5.2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>
      <c r="A43" s="22">
        <f t="shared" si="0"/>
        <v>41426</v>
      </c>
      <c r="B43" s="34">
        <v>5.2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>
      <c r="A44" s="22">
        <f t="shared" si="0"/>
        <v>41456</v>
      </c>
      <c r="B44" s="37">
        <v>5.2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>
      <c r="A45" s="22">
        <f t="shared" si="0"/>
        <v>41487</v>
      </c>
      <c r="B45" s="37">
        <v>5.2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>
      <c r="A46" s="22">
        <f t="shared" si="0"/>
        <v>41518</v>
      </c>
      <c r="B46" s="37">
        <v>5.2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>
      <c r="A47" s="22">
        <f t="shared" si="0"/>
        <v>41548</v>
      </c>
      <c r="B47" s="37">
        <v>5.2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>
      <c r="A48" s="22">
        <f t="shared" si="0"/>
        <v>41579</v>
      </c>
      <c r="B48" s="37">
        <v>5.2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>
      <c r="A49" s="22">
        <f t="shared" si="0"/>
        <v>41609</v>
      </c>
      <c r="B49" s="37">
        <v>5.2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>
      <c r="A50" s="22">
        <f t="shared" si="0"/>
        <v>41640</v>
      </c>
      <c r="B50" s="33">
        <v>5.0999999999999996</v>
      </c>
      <c r="C50" s="24"/>
      <c r="D50" s="24"/>
      <c r="E50" s="24"/>
      <c r="F50" s="25"/>
      <c r="G50" s="24"/>
      <c r="H50" s="21"/>
      <c r="I50" s="21"/>
      <c r="J50" s="21"/>
      <c r="K50" s="21"/>
      <c r="L50" s="21"/>
      <c r="M50" s="21"/>
    </row>
    <row r="51" spans="1:13">
      <c r="A51" s="22">
        <f t="shared" si="0"/>
        <v>41671</v>
      </c>
      <c r="B51" s="34">
        <v>5.0999999999999996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>
      <c r="A52" s="22">
        <f t="shared" si="0"/>
        <v>41699</v>
      </c>
      <c r="B52" s="34">
        <v>5.0999999999999996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>
      <c r="A53" s="22">
        <f t="shared" si="0"/>
        <v>41730</v>
      </c>
      <c r="B53" s="34">
        <v>5.0999999999999996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>
      <c r="A54" s="22">
        <f t="shared" si="0"/>
        <v>41760</v>
      </c>
      <c r="B54" s="35">
        <v>5.0999999999999996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>
      <c r="A55" s="22">
        <f t="shared" si="0"/>
        <v>41791</v>
      </c>
      <c r="B55" s="34">
        <v>5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>
      <c r="A56" s="22">
        <f t="shared" si="0"/>
        <v>41821</v>
      </c>
      <c r="B56" s="37">
        <v>5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>
      <c r="A57" s="22">
        <f t="shared" si="0"/>
        <v>41852</v>
      </c>
      <c r="B57" s="37">
        <v>5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>
      <c r="A58" s="22">
        <f t="shared" si="0"/>
        <v>41883</v>
      </c>
      <c r="B58" s="37">
        <v>5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>
      <c r="A59" s="22">
        <f t="shared" si="0"/>
        <v>41913</v>
      </c>
      <c r="B59" s="37">
        <v>5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>
      <c r="A60" s="22">
        <f t="shared" si="0"/>
        <v>41944</v>
      </c>
      <c r="B60" s="37">
        <v>5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>
      <c r="A61" s="22">
        <f t="shared" si="0"/>
        <v>41974</v>
      </c>
      <c r="B61" s="37">
        <v>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>
      <c r="A62" s="22">
        <f t="shared" si="0"/>
        <v>42005</v>
      </c>
      <c r="B62" s="33">
        <v>5</v>
      </c>
      <c r="C62" s="24"/>
      <c r="D62" s="24"/>
      <c r="E62" s="24"/>
      <c r="F62" s="25"/>
      <c r="G62" s="24"/>
      <c r="H62" s="21"/>
      <c r="I62" s="21"/>
      <c r="J62" s="21"/>
      <c r="K62" s="21"/>
      <c r="L62" s="21"/>
      <c r="M62" s="21"/>
    </row>
    <row r="63" spans="1:13">
      <c r="A63" s="22">
        <f t="shared" si="0"/>
        <v>42036</v>
      </c>
      <c r="B63" s="34">
        <v>5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>
      <c r="A64" s="22">
        <f t="shared" si="0"/>
        <v>42064</v>
      </c>
      <c r="B64" s="34">
        <v>5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>
      <c r="A65" s="22">
        <f t="shared" si="0"/>
        <v>42095</v>
      </c>
      <c r="B65" s="34">
        <v>5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>
      <c r="A66" s="22">
        <f t="shared" si="0"/>
        <v>42125</v>
      </c>
      <c r="B66" s="35">
        <v>5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1:13">
      <c r="A67" s="22">
        <f t="shared" si="0"/>
        <v>42156</v>
      </c>
      <c r="B67" s="34">
        <v>5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13">
      <c r="A68" s="22">
        <f t="shared" ref="A68:C78" si="1">EDATE(A67,1)</f>
        <v>42186</v>
      </c>
      <c r="B68" s="37">
        <v>4.9000000000000004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3">
      <c r="A69" s="22">
        <f t="shared" si="1"/>
        <v>42217</v>
      </c>
      <c r="B69" s="37">
        <v>4.9000000000000004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3">
      <c r="A70" s="22">
        <f t="shared" si="1"/>
        <v>42248</v>
      </c>
      <c r="B70" s="37">
        <v>4.9000000000000004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spans="1:13">
      <c r="A71" s="22">
        <f t="shared" si="1"/>
        <v>42278</v>
      </c>
      <c r="B71" s="37">
        <v>5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 spans="1:13">
      <c r="A72" s="22">
        <f t="shared" si="1"/>
        <v>42309</v>
      </c>
      <c r="B72" s="37">
        <v>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 spans="1:13">
      <c r="A73" s="22">
        <f t="shared" si="1"/>
        <v>42339</v>
      </c>
      <c r="B73" s="37">
        <v>5.0999999999999996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 spans="1:13">
      <c r="A74" s="22">
        <f t="shared" si="1"/>
        <v>42370</v>
      </c>
      <c r="B74" s="33">
        <v>5.0999999999999996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>
      <c r="A75" s="22">
        <f t="shared" si="1"/>
        <v>42401</v>
      </c>
      <c r="B75" s="34">
        <v>5.0999999999999996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>
      <c r="A76" s="22">
        <f t="shared" si="1"/>
        <v>42430</v>
      </c>
      <c r="B76" s="34">
        <v>5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>
      <c r="A77" s="22">
        <f t="shared" si="1"/>
        <v>42461</v>
      </c>
      <c r="B77" s="34">
        <v>5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spans="1:13">
      <c r="A78" s="22">
        <f>EDATE(A77,1)</f>
        <v>42491</v>
      </c>
      <c r="B78" s="35">
        <v>5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</row>
    <row r="79" spans="1:13">
      <c r="A79" s="22">
        <f t="shared" ref="A79:C126" si="2">EDATE(A78,1)</f>
        <v>42522</v>
      </c>
      <c r="B79" s="34">
        <v>5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>
      <c r="A80" s="22">
        <f t="shared" si="2"/>
        <v>42552</v>
      </c>
      <c r="B80" s="37">
        <v>4.9000000000000004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spans="1:13">
      <c r="A81" s="22">
        <f t="shared" si="2"/>
        <v>42583</v>
      </c>
      <c r="B81" s="37">
        <v>4.9000000000000004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13">
      <c r="A82" s="22">
        <f t="shared" si="2"/>
        <v>42614</v>
      </c>
      <c r="B82" s="37">
        <v>4.9000000000000004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>
      <c r="A83" s="22">
        <f t="shared" si="2"/>
        <v>42644</v>
      </c>
      <c r="B83" s="37">
        <v>4.9000000000000004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1:13">
      <c r="A84" s="22">
        <f t="shared" si="2"/>
        <v>42675</v>
      </c>
      <c r="B84" s="37">
        <v>4.9000000000000004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1:13">
      <c r="A85" s="22">
        <f t="shared" si="2"/>
        <v>42705</v>
      </c>
      <c r="B85" s="37">
        <v>4.9000000000000004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 spans="1:13">
      <c r="A86" s="22">
        <f t="shared" si="2"/>
        <v>42736</v>
      </c>
      <c r="B86" s="33">
        <v>4.9000000000000004</v>
      </c>
      <c r="C86" s="24"/>
      <c r="D86" s="24"/>
      <c r="E86" s="24"/>
      <c r="F86" s="25"/>
      <c r="G86" s="24"/>
      <c r="H86" s="21"/>
      <c r="I86" s="21"/>
      <c r="J86" s="21"/>
      <c r="K86" s="20"/>
      <c r="L86" s="20"/>
      <c r="M86" s="20"/>
    </row>
    <row r="87" spans="1:13">
      <c r="A87" s="22">
        <f t="shared" si="2"/>
        <v>42767</v>
      </c>
      <c r="B87" s="34">
        <v>4.9000000000000004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 spans="1:13">
      <c r="A88" s="22">
        <f t="shared" si="2"/>
        <v>42795</v>
      </c>
      <c r="B88" s="34">
        <v>4.9000000000000004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</row>
    <row r="89" spans="1:13">
      <c r="A89" s="22">
        <f t="shared" si="2"/>
        <v>42826</v>
      </c>
      <c r="B89" s="34">
        <v>4.9000000000000004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</row>
    <row r="90" spans="1:13">
      <c r="A90" s="22">
        <f t="shared" si="2"/>
        <v>42856</v>
      </c>
      <c r="B90" s="35">
        <v>4.9000000000000004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 spans="1:13">
      <c r="A91" s="22">
        <f t="shared" si="2"/>
        <v>42887</v>
      </c>
      <c r="B91" s="34">
        <v>4.9000000000000004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>
      <c r="A92" s="22">
        <f t="shared" si="2"/>
        <v>42917</v>
      </c>
      <c r="B92" s="37">
        <v>4.9000000000000004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 spans="1:13">
      <c r="A93" s="22">
        <f t="shared" si="2"/>
        <v>42948</v>
      </c>
      <c r="B93" s="37">
        <v>4.9000000000000004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>
      <c r="A94" s="22">
        <f t="shared" si="2"/>
        <v>42979</v>
      </c>
      <c r="B94" s="37">
        <v>4.9000000000000004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>
      <c r="A95" s="22">
        <f t="shared" si="2"/>
        <v>43009</v>
      </c>
      <c r="B95" s="38">
        <v>4.9000000000000004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3">
      <c r="A96" s="22">
        <f t="shared" si="2"/>
        <v>43040</v>
      </c>
      <c r="B96" s="38">
        <v>4.9000000000000004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 spans="1:13">
      <c r="A97" s="22">
        <f t="shared" si="2"/>
        <v>43070</v>
      </c>
      <c r="B97" s="38">
        <v>4.9000000000000004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 spans="1:13">
      <c r="A98" s="22">
        <f t="shared" si="2"/>
        <v>43101</v>
      </c>
      <c r="B98" s="33">
        <v>4.9000000000000004</v>
      </c>
      <c r="C98" s="24"/>
      <c r="D98" s="24"/>
      <c r="E98" s="24"/>
      <c r="F98" s="24"/>
      <c r="G98" s="24"/>
      <c r="H98" s="24"/>
      <c r="I98" s="21"/>
      <c r="J98" s="21"/>
      <c r="K98" s="20"/>
      <c r="L98" s="20"/>
      <c r="M98" s="20"/>
    </row>
    <row r="99" spans="1:13">
      <c r="A99" s="22">
        <f t="shared" si="2"/>
        <v>43132</v>
      </c>
      <c r="B99" s="34">
        <v>4.9000000000000004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>
      <c r="A100" s="22">
        <f t="shared" si="2"/>
        <v>43160</v>
      </c>
      <c r="B100" s="34">
        <v>4.9000000000000004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 spans="1:13">
      <c r="A101" s="22">
        <f t="shared" si="2"/>
        <v>43191</v>
      </c>
      <c r="B101" s="34">
        <v>4.9000000000000004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 spans="1:13">
      <c r="A102" s="22">
        <f t="shared" si="2"/>
        <v>43221</v>
      </c>
      <c r="B102" s="34">
        <v>4.9000000000000004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 spans="1:13">
      <c r="A103" s="22">
        <f t="shared" si="2"/>
        <v>43252</v>
      </c>
      <c r="B103" s="34">
        <v>4.9000000000000004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spans="1:13">
      <c r="A104" s="22">
        <f t="shared" si="2"/>
        <v>43282</v>
      </c>
      <c r="B104" s="34">
        <v>4.8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3">
      <c r="A105" s="22">
        <f t="shared" si="2"/>
        <v>43313</v>
      </c>
      <c r="B105" s="37">
        <v>4.8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spans="1:13">
      <c r="A106" s="22">
        <f t="shared" si="2"/>
        <v>43344</v>
      </c>
      <c r="B106" s="37">
        <v>4.8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</row>
    <row r="107" spans="1:13">
      <c r="A107" s="22">
        <f t="shared" si="2"/>
        <v>43374</v>
      </c>
      <c r="B107" s="38">
        <v>4.8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</row>
    <row r="108" spans="1:13">
      <c r="A108" s="22">
        <f t="shared" si="2"/>
        <v>43405</v>
      </c>
      <c r="B108" s="38">
        <v>4.8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 spans="1:13">
      <c r="A109" s="22">
        <f t="shared" si="2"/>
        <v>43435</v>
      </c>
      <c r="B109" s="38">
        <v>4.8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3">
      <c r="A110" s="22">
        <f t="shared" si="2"/>
        <v>43466</v>
      </c>
      <c r="B110" s="33">
        <v>4.8</v>
      </c>
      <c r="C110" s="24"/>
      <c r="D110" s="24"/>
      <c r="E110" s="24"/>
      <c r="F110" s="24"/>
      <c r="G110" s="24"/>
      <c r="H110" s="24"/>
      <c r="I110" s="21"/>
      <c r="J110" s="21"/>
      <c r="K110" s="20"/>
      <c r="L110" s="20"/>
      <c r="M110" s="20"/>
    </row>
    <row r="111" spans="1:13">
      <c r="A111" s="22">
        <f t="shared" si="2"/>
        <v>43497</v>
      </c>
      <c r="B111" s="34">
        <v>4.8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>
      <c r="A112" s="22">
        <f t="shared" si="2"/>
        <v>43525</v>
      </c>
      <c r="B112" s="34">
        <v>4.8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3">
      <c r="A113" s="22">
        <f t="shared" si="2"/>
        <v>43556</v>
      </c>
      <c r="B113" s="34">
        <v>4.8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3">
      <c r="A114" s="22">
        <f t="shared" si="2"/>
        <v>43586</v>
      </c>
      <c r="B114" s="34">
        <v>4.8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3">
      <c r="A115" s="22">
        <f t="shared" si="2"/>
        <v>43617</v>
      </c>
      <c r="B115" s="34">
        <v>4.8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spans="1:13">
      <c r="A116" s="22">
        <f t="shared" si="2"/>
        <v>43647</v>
      </c>
      <c r="B116" s="34">
        <v>4.8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</row>
    <row r="117" spans="1:13">
      <c r="A117" s="22">
        <f t="shared" si="2"/>
        <v>43678</v>
      </c>
      <c r="B117" s="37">
        <v>4.8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spans="1:13">
      <c r="A118" s="22">
        <f t="shared" si="2"/>
        <v>43709</v>
      </c>
      <c r="B118" s="37">
        <v>4.8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spans="1:13">
      <c r="A119" s="22">
        <f t="shared" si="2"/>
        <v>43739</v>
      </c>
      <c r="B119" s="38">
        <v>4.8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spans="1:13">
      <c r="A120" s="22">
        <f t="shared" si="2"/>
        <v>43770</v>
      </c>
      <c r="B120" s="38">
        <v>4.8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1:13">
      <c r="A121" s="22">
        <f t="shared" si="2"/>
        <v>43800</v>
      </c>
      <c r="B121" s="38">
        <v>4.8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spans="1:13">
      <c r="A122" s="22">
        <f t="shared" si="2"/>
        <v>43831</v>
      </c>
      <c r="B122" s="33">
        <v>4.8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 spans="1:13">
      <c r="A123" s="22">
        <f t="shared" si="2"/>
        <v>43862</v>
      </c>
      <c r="B123" s="34">
        <v>4.8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spans="1:13">
      <c r="A124" s="22">
        <f t="shared" si="2"/>
        <v>43891</v>
      </c>
      <c r="B124" s="34">
        <v>4.8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spans="1:13">
      <c r="A125" s="22">
        <f t="shared" si="2"/>
        <v>43922</v>
      </c>
      <c r="B125" s="39">
        <v>5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spans="1:13">
      <c r="A126" s="22">
        <f t="shared" si="2"/>
        <v>43952</v>
      </c>
      <c r="B126" s="39">
        <v>5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spans="1:13">
      <c r="A127" s="22">
        <f>EDATE(A126,1)</f>
        <v>43983</v>
      </c>
      <c r="B127" s="34">
        <v>5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spans="1:13">
      <c r="A128" s="22">
        <f t="shared" ref="A128:C191" si="3">EDATE(A127,1)</f>
        <v>44013</v>
      </c>
      <c r="B128" s="34">
        <v>5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spans="1:13">
      <c r="A129" s="22">
        <f t="shared" si="3"/>
        <v>44044</v>
      </c>
      <c r="B129" s="37">
        <v>5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 spans="1:13">
      <c r="A130" s="22">
        <f t="shared" si="3"/>
        <v>44075</v>
      </c>
      <c r="B130" s="37">
        <v>5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 spans="1:13">
      <c r="A131" s="22">
        <f t="shared" si="3"/>
        <v>44105</v>
      </c>
      <c r="B131" s="38">
        <v>5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spans="1:13">
      <c r="A132" s="22">
        <f t="shared" si="3"/>
        <v>44136</v>
      </c>
      <c r="B132" s="38">
        <v>4.9000000000000004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spans="1:13">
      <c r="A133" s="22">
        <f t="shared" si="3"/>
        <v>44166</v>
      </c>
      <c r="B133" s="38">
        <v>4.9000000000000004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spans="1:13">
      <c r="A134" s="22">
        <f t="shared" si="3"/>
        <v>44197</v>
      </c>
      <c r="B134" s="33">
        <v>4.9000000000000004</v>
      </c>
      <c r="C134" s="24"/>
      <c r="D134" s="24"/>
      <c r="E134" s="24"/>
      <c r="F134" s="24"/>
      <c r="G134" s="24"/>
      <c r="H134" s="24"/>
      <c r="I134" s="21"/>
      <c r="J134" s="21"/>
      <c r="K134" s="20"/>
      <c r="L134" s="20"/>
      <c r="M134" s="20"/>
    </row>
    <row r="135" spans="1:13">
      <c r="A135" s="22">
        <f t="shared" si="3"/>
        <v>44228</v>
      </c>
      <c r="B135" s="34">
        <v>4.9000000000000004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3">
      <c r="A136" s="22">
        <f t="shared" si="3"/>
        <v>44256</v>
      </c>
      <c r="B136" s="34">
        <v>4.9000000000000004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3">
      <c r="A137" s="22">
        <f t="shared" si="3"/>
        <v>44287</v>
      </c>
      <c r="B137" s="34">
        <v>4.9000000000000004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3">
      <c r="A138" s="22">
        <f t="shared" si="3"/>
        <v>44317</v>
      </c>
      <c r="B138" s="34">
        <v>4.9000000000000004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 spans="1:13">
      <c r="A139" s="22">
        <f t="shared" si="3"/>
        <v>44348</v>
      </c>
      <c r="B139" s="34">
        <v>4.9000000000000004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3">
      <c r="A140" s="22">
        <f t="shared" si="3"/>
        <v>44378</v>
      </c>
      <c r="B140" s="34">
        <v>4.9000000000000004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3">
      <c r="A141" s="22">
        <f t="shared" si="3"/>
        <v>44409</v>
      </c>
      <c r="B141" s="37">
        <v>4.9000000000000004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3">
      <c r="A142" s="22">
        <f t="shared" si="3"/>
        <v>44440</v>
      </c>
      <c r="B142" s="37">
        <v>4.9000000000000004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</row>
    <row r="143" spans="1:13">
      <c r="A143" s="22">
        <f t="shared" si="3"/>
        <v>44470</v>
      </c>
      <c r="B143" s="38">
        <v>4.9000000000000004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 spans="1:13">
      <c r="A144" s="22">
        <f t="shared" si="3"/>
        <v>44501</v>
      </c>
      <c r="B144" s="38">
        <v>4.9000000000000004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 spans="1:13">
      <c r="A145" s="22">
        <f t="shared" si="3"/>
        <v>44531</v>
      </c>
      <c r="B145" s="38">
        <v>4.9000000000000004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</row>
    <row r="146" spans="1:13">
      <c r="A146" s="22">
        <f t="shared" si="3"/>
        <v>44562</v>
      </c>
      <c r="B146" s="40">
        <v>4.9000000000000004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3">
      <c r="A147" s="22">
        <f t="shared" si="3"/>
        <v>44593</v>
      </c>
      <c r="B147" s="40">
        <v>4.9000000000000004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 spans="1:13">
      <c r="A148" s="22">
        <f t="shared" si="3"/>
        <v>44621</v>
      </c>
      <c r="B148" s="40">
        <v>4.9000000000000004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 spans="1:13">
      <c r="A149" s="22">
        <f t="shared" si="3"/>
        <v>44652</v>
      </c>
      <c r="B149" s="40">
        <v>4.9000000000000004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 spans="1:13">
      <c r="A150" s="22">
        <f t="shared" si="3"/>
        <v>44682</v>
      </c>
      <c r="B150" s="40">
        <v>4.9000000000000004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</row>
    <row r="151" spans="1:13">
      <c r="A151" s="22">
        <f t="shared" si="3"/>
        <v>44713</v>
      </c>
      <c r="B151" s="40">
        <v>4.9000000000000004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 spans="1:13">
      <c r="A152" s="22">
        <f t="shared" si="3"/>
        <v>44743</v>
      </c>
      <c r="B152" s="40">
        <v>4.9000000000000004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</row>
    <row r="153" spans="1:13">
      <c r="A153" s="22">
        <f t="shared" si="3"/>
        <v>44774</v>
      </c>
      <c r="B153" s="40">
        <v>4.9000000000000004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</row>
    <row r="154" spans="1:13">
      <c r="A154" s="22">
        <f t="shared" si="3"/>
        <v>44805</v>
      </c>
      <c r="B154" s="40">
        <v>4.9000000000000004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 spans="1:13">
      <c r="A155" s="22">
        <f t="shared" si="3"/>
        <v>44835</v>
      </c>
      <c r="B155" s="40">
        <v>4.9000000000000004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</row>
    <row r="156" spans="1:13">
      <c r="A156" s="22">
        <f t="shared" si="3"/>
        <v>44866</v>
      </c>
      <c r="B156" s="40">
        <v>4.9000000000000004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</row>
    <row r="157" spans="1:13">
      <c r="A157" s="22">
        <f t="shared" si="3"/>
        <v>44896</v>
      </c>
      <c r="B157" s="40">
        <v>4.9000000000000004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 spans="1:13">
      <c r="A158" s="22">
        <f t="shared" si="3"/>
        <v>44927</v>
      </c>
      <c r="B158" s="40">
        <v>4.8</v>
      </c>
      <c r="C158" s="19"/>
      <c r="D158" s="19"/>
      <c r="E158" s="19"/>
      <c r="F158" s="20"/>
      <c r="G158" s="20"/>
      <c r="H158" s="20"/>
      <c r="I158" s="21"/>
      <c r="J158" s="21"/>
      <c r="K158" s="20"/>
      <c r="L158" s="20"/>
      <c r="M158" s="20"/>
    </row>
    <row r="159" spans="1:13">
      <c r="A159" s="22">
        <f t="shared" si="3"/>
        <v>44958</v>
      </c>
      <c r="B159" s="40">
        <v>4.8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 spans="1:13">
      <c r="A160" s="22">
        <f t="shared" si="3"/>
        <v>44986</v>
      </c>
      <c r="B160" s="40">
        <v>4.8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 spans="1:13">
      <c r="A161" s="22">
        <f t="shared" si="3"/>
        <v>45017</v>
      </c>
      <c r="B161" s="40">
        <v>4.7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 spans="1:13">
      <c r="A162" s="22">
        <f t="shared" si="3"/>
        <v>45047</v>
      </c>
      <c r="B162" s="38">
        <v>4.7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</row>
    <row r="163" spans="1:13">
      <c r="A163" s="22">
        <f t="shared" si="3"/>
        <v>45078</v>
      </c>
      <c r="B163" s="38">
        <v>4.7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 spans="1:13">
      <c r="A164" s="22">
        <f t="shared" si="3"/>
        <v>45108</v>
      </c>
      <c r="B164" s="38">
        <v>4.7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 spans="1:13">
      <c r="A165" s="22">
        <f t="shared" si="3"/>
        <v>45139</v>
      </c>
      <c r="B165" s="37">
        <v>4.7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</row>
    <row r="166" spans="1:13">
      <c r="A166" s="22">
        <f t="shared" si="3"/>
        <v>45170</v>
      </c>
      <c r="B166" s="37">
        <v>4.7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</row>
    <row r="167" spans="1:13">
      <c r="A167" s="22">
        <f t="shared" si="3"/>
        <v>45200</v>
      </c>
      <c r="B167" s="38">
        <v>4.7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</row>
    <row r="168" spans="1:13">
      <c r="A168" s="22">
        <f t="shared" si="3"/>
        <v>45231</v>
      </c>
      <c r="B168" s="38">
        <v>4.7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 spans="1:13">
      <c r="A169" s="22">
        <f t="shared" si="3"/>
        <v>45261</v>
      </c>
      <c r="B169" s="38">
        <v>4.7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 spans="1:13">
      <c r="A170" s="22">
        <f t="shared" si="3"/>
        <v>45292</v>
      </c>
      <c r="B170" s="40">
        <v>4.7</v>
      </c>
      <c r="C170" s="19"/>
      <c r="D170" s="19"/>
      <c r="E170" s="19"/>
      <c r="F170" s="20"/>
      <c r="G170" s="20"/>
      <c r="H170" s="20"/>
      <c r="I170" s="21"/>
      <c r="J170" s="21"/>
      <c r="K170" s="21"/>
      <c r="L170" s="21"/>
      <c r="M170" s="21"/>
    </row>
    <row r="171" spans="1:13">
      <c r="A171" s="22">
        <f t="shared" si="3"/>
        <v>45323</v>
      </c>
      <c r="B171" s="40">
        <v>4.7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 spans="1:13">
      <c r="A172" s="22">
        <f t="shared" si="3"/>
        <v>45352</v>
      </c>
      <c r="B172" s="40">
        <v>4.7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</row>
    <row r="173" spans="1:13">
      <c r="A173" s="22">
        <f t="shared" si="3"/>
        <v>45383</v>
      </c>
      <c r="B173" s="40">
        <v>4.7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</row>
    <row r="174" spans="1:13">
      <c r="A174" s="22">
        <f t="shared" si="3"/>
        <v>45413</v>
      </c>
      <c r="B174" s="38">
        <v>4.7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 spans="1:13">
      <c r="A175" s="22">
        <f t="shared" si="3"/>
        <v>45444</v>
      </c>
      <c r="B175" s="38">
        <v>4.7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 spans="1:13">
      <c r="A176" s="22">
        <f t="shared" si="3"/>
        <v>45474</v>
      </c>
      <c r="B176" s="38">
        <v>4.5999999999999996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 spans="1:13">
      <c r="A177" s="22">
        <f t="shared" si="3"/>
        <v>45505</v>
      </c>
      <c r="B177" s="37">
        <v>4.5999999999999996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 spans="1:13">
      <c r="A178" s="22">
        <f t="shared" si="3"/>
        <v>45536</v>
      </c>
      <c r="B178" s="37">
        <v>4.5999999999999996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 spans="1:13">
      <c r="A179" s="22">
        <f t="shared" si="3"/>
        <v>45566</v>
      </c>
      <c r="B179" s="37">
        <v>4.5999999999999996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</row>
    <row r="180" spans="1:13">
      <c r="A180" s="22">
        <f t="shared" si="3"/>
        <v>45597</v>
      </c>
      <c r="B180" s="37">
        <v>4.5999999999999996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</row>
    <row r="181" spans="1:13">
      <c r="A181" s="22">
        <f t="shared" si="3"/>
        <v>45627</v>
      </c>
      <c r="B181" s="37">
        <v>4.5999999999999996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spans="1:13">
      <c r="A182" s="22">
        <f t="shared" si="3"/>
        <v>45658</v>
      </c>
      <c r="B182" s="40">
        <v>4.5999999999999996</v>
      </c>
      <c r="C182" s="19"/>
      <c r="D182" s="19"/>
      <c r="E182" s="19"/>
      <c r="F182" s="20"/>
      <c r="G182" s="20"/>
      <c r="H182" s="20"/>
      <c r="I182" s="20"/>
      <c r="J182" s="21"/>
      <c r="K182" s="20"/>
      <c r="L182" s="20"/>
      <c r="M182" s="20"/>
    </row>
    <row r="183" spans="1:13">
      <c r="A183" s="22">
        <f t="shared" si="3"/>
        <v>45689</v>
      </c>
      <c r="B183" s="40">
        <v>4.5999999999999996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 spans="1:13">
      <c r="A184" s="22">
        <f t="shared" si="3"/>
        <v>45717</v>
      </c>
      <c r="B184" s="40">
        <v>4.5999999999999996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 spans="1:13">
      <c r="A185" s="22">
        <f t="shared" si="3"/>
        <v>45748</v>
      </c>
      <c r="B185" s="40">
        <v>4.5999999999999996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 spans="1:13">
      <c r="A186" s="22">
        <f t="shared" si="3"/>
        <v>45778</v>
      </c>
      <c r="B186" s="38">
        <v>4.5999999999999996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 spans="1:13">
      <c r="A187" s="22">
        <f t="shared" si="3"/>
        <v>45809</v>
      </c>
      <c r="B187" s="38">
        <v>4.5999999999999996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 spans="1:13">
      <c r="A188" s="22">
        <f t="shared" si="3"/>
        <v>45839</v>
      </c>
      <c r="B188" s="38">
        <v>4.5999999999999996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 spans="1:13">
      <c r="A189" s="22">
        <f t="shared" si="3"/>
        <v>45870</v>
      </c>
      <c r="B189" s="38">
        <v>4.5999999999999996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 spans="1:13">
      <c r="A190" s="22">
        <f t="shared" si="3"/>
        <v>45901</v>
      </c>
      <c r="B190" s="37">
        <v>4.5999999999999996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 spans="1:13">
      <c r="A191" s="22">
        <f t="shared" si="3"/>
        <v>45931</v>
      </c>
      <c r="B191" s="38">
        <v>4.5999999999999996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 spans="1:13">
      <c r="A192" s="22">
        <f>EDATE(A191,1)</f>
        <v>45962</v>
      </c>
      <c r="B192" s="38">
        <v>4.5999999999999996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</row>
    <row r="193" spans="1:13">
      <c r="A193" s="22">
        <f>EDATE(A192,1)</f>
        <v>45992</v>
      </c>
      <c r="B193" s="38">
        <v>4.5999999999999996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82FB92A7B4054489DD019E9EF77EA89" ma:contentTypeVersion="0" ma:contentTypeDescription="Создание документа." ma:contentTypeScope="" ma:versionID="d7393bfcdd695e01e4f3710d9bc9d670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D40597D-AA6B-4C87-B838-E7EFE30D6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0D5D6BC-561E-44EE-B79F-6BAD9FC64F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02C3D9-8C0D-447A-AE23-92C90E28349D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2010-2025 </vt:lpstr>
      <vt:lpstr>unemployed_rate</vt:lpstr>
    </vt:vector>
  </TitlesOfParts>
  <Company>KUAT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d.khamzina</dc:creator>
  <cp:lastModifiedBy>Seidakhmet Rashid</cp:lastModifiedBy>
  <cp:lastPrinted>2011-07-14T06:16:47Z</cp:lastPrinted>
  <dcterms:created xsi:type="dcterms:W3CDTF">2011-07-14T06:05:51Z</dcterms:created>
  <dcterms:modified xsi:type="dcterms:W3CDTF">2026-01-30T01:13:09Z</dcterms:modified>
</cp:coreProperties>
</file>