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_PROJECTS\DS_COURSE\uni_er\PROJECT_DIPLOMA\data\"/>
    </mc:Choice>
  </mc:AlternateContent>
  <xr:revisionPtr revIDLastSave="0" documentId="13_ncr:1_{1E54C0AE-AF72-480A-8A55-CA9BFF1C5FE9}" xr6:coauthVersionLast="36" xr6:coauthVersionMax="36" xr10:uidLastSave="{00000000-0000-0000-0000-000000000000}"/>
  <bookViews>
    <workbookView xWindow="0" yWindow="0" windowWidth="12288" windowHeight="5340" firstSheet="1" activeTab="2" xr2:uid="{00000000-000D-0000-FFFF-FFFF00000000}"/>
  </bookViews>
  <sheets>
    <sheet name="Sheet6" sheetId="7" state="hidden" r:id="rId1"/>
    <sheet name="Sheet7" sheetId="8" r:id="rId2"/>
    <sheet name="data" sheetId="1" r:id="rId3"/>
    <sheet name="customers" sheetId="9" r:id="rId4"/>
  </sheets>
  <definedNames>
    <definedName name="_xlcn.WorksheetConnection_data.xlsxTable21" hidden="1">Table2</definedName>
    <definedName name="_xlcn.WorksheetConnection_dataI1I211" hidden="1">data!$I$1:$I$21</definedName>
  </definedNames>
  <calcPr calcId="191029"/>
  <pivotCaches>
    <pivotCache cacheId="45" r:id="rId5"/>
    <pivotCache cacheId="44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I$1:$I$21"/>
          <x15:modelTable id="Table2" name="Table2" connection="WorksheetConnection_data.xlsx!Table2"/>
        </x15:modelTables>
      </x15:dataModel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952D0-3CDA-4D9F-934C-F61B50CA38F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6AE4B4-2A92-4A09-8E6C-3A932C264733}" name="WorksheetConnection_data!$I$1:$I$2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I1I211"/>
        </x15:connection>
      </ext>
    </extLst>
  </connection>
  <connection id="3" xr16:uid="{88DD3206-BED9-49F4-9BE9-4A9C05A12601}" name="WorksheetConnection_data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data.xlsxTable21"/>
        </x15:connection>
      </ext>
    </extLst>
  </connection>
</connections>
</file>

<file path=xl/sharedStrings.xml><?xml version="1.0" encoding="utf-8"?>
<sst xmlns="http://schemas.openxmlformats.org/spreadsheetml/2006/main" count="255" uniqueCount="86">
  <si>
    <t>order_id</t>
  </si>
  <si>
    <t>order_date</t>
  </si>
  <si>
    <t>ship_date</t>
  </si>
  <si>
    <t>region</t>
  </si>
  <si>
    <t>country</t>
  </si>
  <si>
    <t>city</t>
  </si>
  <si>
    <t>customer_id</t>
  </si>
  <si>
    <t>customer_segment</t>
  </si>
  <si>
    <t>product_category</t>
  </si>
  <si>
    <t>product_name</t>
  </si>
  <si>
    <t>quantity</t>
  </si>
  <si>
    <t>unit_price</t>
  </si>
  <si>
    <t>discount</t>
  </si>
  <si>
    <t>shipping_cost</t>
  </si>
  <si>
    <t>payment_method</t>
  </si>
  <si>
    <t>order_status</t>
  </si>
  <si>
    <t>Central</t>
  </si>
  <si>
    <t>Kazakhstan</t>
  </si>
  <si>
    <t>Almaty</t>
  </si>
  <si>
    <t>C001</t>
  </si>
  <si>
    <t>Consumer</t>
  </si>
  <si>
    <t>Electronics</t>
  </si>
  <si>
    <t>Laptop Pro 14</t>
  </si>
  <si>
    <t>Credit Card</t>
  </si>
  <si>
    <t>Completed</t>
  </si>
  <si>
    <t>South</t>
  </si>
  <si>
    <t>Shymkent</t>
  </si>
  <si>
    <t>C002</t>
  </si>
  <si>
    <t>Corporate</t>
  </si>
  <si>
    <t>Furniture</t>
  </si>
  <si>
    <t>Office Chair</t>
  </si>
  <si>
    <t>Cash</t>
  </si>
  <si>
    <t>North</t>
  </si>
  <si>
    <t>Astana</t>
  </si>
  <si>
    <t>C003</t>
  </si>
  <si>
    <t>Wireless Mouse</t>
  </si>
  <si>
    <t>Debit Card</t>
  </si>
  <si>
    <t>C004</t>
  </si>
  <si>
    <t>Home Office</t>
  </si>
  <si>
    <t>Technology</t>
  </si>
  <si>
    <t>Tablet 10"</t>
  </si>
  <si>
    <t>West</t>
  </si>
  <si>
    <t>Aktobe</t>
  </si>
  <si>
    <t>C005</t>
  </si>
  <si>
    <t>Office Supplies</t>
  </si>
  <si>
    <t>Printer Paper</t>
  </si>
  <si>
    <t>C006</t>
  </si>
  <si>
    <t>Monitor 27"</t>
  </si>
  <si>
    <t>Bank Transfer</t>
  </si>
  <si>
    <t>C007</t>
  </si>
  <si>
    <t>Smartphone X</t>
  </si>
  <si>
    <t>Returned</t>
  </si>
  <si>
    <t>C008</t>
  </si>
  <si>
    <t>Meeting Table</t>
  </si>
  <si>
    <t>Atyrau</t>
  </si>
  <si>
    <t>C009</t>
  </si>
  <si>
    <t>Ink Cartridge</t>
  </si>
  <si>
    <t>C010</t>
  </si>
  <si>
    <t>Headphones</t>
  </si>
  <si>
    <t>C011</t>
  </si>
  <si>
    <t>Laptop Air 13</t>
  </si>
  <si>
    <t>C012</t>
  </si>
  <si>
    <t>Bookshelf</t>
  </si>
  <si>
    <t>C013</t>
  </si>
  <si>
    <t>Desk Lamp</t>
  </si>
  <si>
    <t>C014</t>
  </si>
  <si>
    <t>External SSD 1TB</t>
  </si>
  <si>
    <t>C015</t>
  </si>
  <si>
    <t>Smartwatch</t>
  </si>
  <si>
    <t>C016</t>
  </si>
  <si>
    <t>Office Desk</t>
  </si>
  <si>
    <t>C017</t>
  </si>
  <si>
    <t>Keyboard Mechanical</t>
  </si>
  <si>
    <t>C018</t>
  </si>
  <si>
    <t>Notebook Pack</t>
  </si>
  <si>
    <t>C019</t>
  </si>
  <si>
    <t>Projector HD</t>
  </si>
  <si>
    <t>C020</t>
  </si>
  <si>
    <t>Bluetooth Speaker</t>
  </si>
  <si>
    <t>Revenue</t>
  </si>
  <si>
    <t>Revenue By Region</t>
  </si>
  <si>
    <t>Region</t>
  </si>
  <si>
    <t>is_returned</t>
  </si>
  <si>
    <t>Row Labels</t>
  </si>
  <si>
    <t>Grand Total</t>
  </si>
  <si>
    <t>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</si>
</sst>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idahmet" refreshedDate="46042.745955092592" createdVersion="6" refreshedVersion="6" minRefreshableVersion="3" recordCount="20" xr:uid="{33F64BD6-3AA0-4DBC-AEF0-7D910522F71B}">
  <cacheSource type="worksheet">
    <worksheetSource ref="A1:R21" sheet="data"/>
  </cacheSource>
  <cacheFields count="19">
    <cacheField name="order_id" numFmtId="0">
      <sharedItems containsSemiMixedTypes="0" containsString="0" containsNumber="1" containsInteger="1" minValue="10001" maxValue="10020"/>
    </cacheField>
    <cacheField name="order_date" numFmtId="14">
      <sharedItems containsSemiMixedTypes="0" containsNonDate="0" containsDate="1" containsString="0" minDate="2023-01-05T00:00:00" maxDate="2023-09-18T00:00:00" count="20">
        <d v="2023-01-05T00:00:00"/>
        <d v="2023-01-07T00:00:00"/>
        <d v="2023-01-12T00:00:00"/>
        <d v="2023-02-02T00:00:00"/>
        <d v="2023-02-15T00:00:00"/>
        <d v="2023-03-03T00:00:00"/>
        <d v="2023-03-10T00:00:00"/>
        <d v="2023-03-22T00:00:00"/>
        <d v="2023-04-05T00:00:00"/>
        <d v="2023-04-18T00:00:00"/>
        <d v="2023-05-04T00:00:00"/>
        <d v="2023-05-19T00:00:00"/>
        <d v="2023-06-02T00:00:00"/>
        <d v="2023-06-15T00:00:00"/>
        <d v="2023-07-03T00:00:00"/>
        <d v="2023-07-18T00:00:00"/>
        <d v="2023-08-06T00:00:00"/>
        <d v="2023-08-21T00:00:00"/>
        <d v="2023-09-04T00:00:00"/>
        <d v="2023-09-17T00:00:00"/>
      </sharedItems>
      <fieldGroup par="18" base="1">
        <rangePr groupBy="days" startDate="2023-01-05T00:00:00" endDate="2023-09-18T00:00:00"/>
        <groupItems count="368">
          <s v="&lt;1/5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18/2023"/>
        </groupItems>
      </fieldGroup>
    </cacheField>
    <cacheField name="ship_date" numFmtId="14">
      <sharedItems containsSemiMixedTypes="0" containsNonDate="0" containsDate="1" containsString="0" minDate="2023-01-08T00:00:00" maxDate="2023-09-23T00:00:00"/>
    </cacheField>
    <cacheField name="region" numFmtId="0">
      <sharedItems count="4">
        <s v="Central"/>
        <s v="South"/>
        <s v="North"/>
        <s v="West"/>
      </sharedItems>
    </cacheField>
    <cacheField name="country" numFmtId="0">
      <sharedItems/>
    </cacheField>
    <cacheField name="city" numFmtId="0">
      <sharedItems/>
    </cacheField>
    <cacheField name="customer_id" numFmtId="0">
      <sharedItems/>
    </cacheField>
    <cacheField name="customer_segment" numFmtId="0">
      <sharedItems/>
    </cacheField>
    <cacheField name="product_category" numFmtId="0">
      <sharedItems count="4">
        <s v="Electronics"/>
        <s v="Furniture"/>
        <s v="Technology"/>
        <s v="Office Supplie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6" maxValue="1200"/>
    </cacheField>
    <cacheField name="discount" numFmtId="0">
      <sharedItems containsSemiMixedTypes="0" containsString="0" containsNumber="1" minValue="0" maxValue="0.15"/>
    </cacheField>
    <cacheField name="shipping_cost" numFmtId="0">
      <sharedItems containsSemiMixedTypes="0" containsString="0" containsNumber="1" containsInteger="1" minValue="5" maxValue="40"/>
    </cacheField>
    <cacheField name="payment_method" numFmtId="0">
      <sharedItems/>
    </cacheField>
    <cacheField name="order_status" numFmtId="0">
      <sharedItems/>
    </cacheField>
    <cacheField name="Revenue" numFmtId="0">
      <sharedItems containsSemiMixedTypes="0" containsString="0" containsNumber="1" minValue="59" maxValue="1199.05"/>
    </cacheField>
    <cacheField name="is_returned" numFmtId="0">
      <sharedItems containsSemiMixedTypes="0" containsString="0" containsNumber="1" containsInteger="1" minValue="0" maxValue="1" count="2">
        <n v="0"/>
        <n v="1"/>
      </sharedItems>
    </cacheField>
    <cacheField name="Months" numFmtId="0" databaseField="0">
      <fieldGroup base="1">
        <rangePr groupBy="months" startDate="2023-01-05T00:00:00" endDate="2023-09-18T00:00:00"/>
        <groupItems count="14">
          <s v="&lt;1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idahmet" refreshedDate="46042.751935995373" createdVersion="6" refreshedVersion="6" minRefreshableVersion="3" recordCount="20" xr:uid="{36A95BA1-A434-4864-8BEA-87C0A4DF38FB}">
  <cacheSource type="worksheet">
    <worksheetSource ref="D1:D21" sheet="data"/>
  </cacheSource>
  <cacheFields count="1">
    <cacheField name="region" numFmtId="0">
      <sharedItems count="4">
        <s v="Central"/>
        <s v="South"/>
        <s v="Nor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01"/>
    <x v="0"/>
    <d v="2023-01-08T00:00:00"/>
    <x v="0"/>
    <s v="Kazakhstan"/>
    <s v="Almaty"/>
    <s v="C001"/>
    <s v="Consumer"/>
    <x v="0"/>
    <s v="Laptop Pro 14"/>
    <n v="1"/>
    <n v="1200"/>
    <n v="0.05"/>
    <n v="25"/>
    <s v="Credit Card"/>
    <s v="Completed"/>
    <n v="1199.05"/>
    <x v="0"/>
  </r>
  <r>
    <n v="10002"/>
    <x v="1"/>
    <d v="2023-01-10T00:00:00"/>
    <x v="1"/>
    <s v="Kazakhstan"/>
    <s v="Shymkent"/>
    <s v="C002"/>
    <s v="Corporate"/>
    <x v="1"/>
    <s v="Office Chair"/>
    <n v="3"/>
    <n v="180"/>
    <n v="0.1"/>
    <n v="15"/>
    <s v="Cash"/>
    <s v="Completed"/>
    <n v="539.1"/>
    <x v="0"/>
  </r>
  <r>
    <n v="10003"/>
    <x v="2"/>
    <d v="2023-01-16T00:00:00"/>
    <x v="2"/>
    <s v="Kazakhstan"/>
    <s v="Astana"/>
    <s v="C003"/>
    <s v="Consumer"/>
    <x v="0"/>
    <s v="Wireless Mouse"/>
    <n v="5"/>
    <n v="25"/>
    <n v="0"/>
    <n v="5"/>
    <s v="Debit Card"/>
    <s v="Completed"/>
    <n v="124"/>
    <x v="0"/>
  </r>
  <r>
    <n v="10004"/>
    <x v="3"/>
    <d v="2023-02-05T00:00:00"/>
    <x v="0"/>
    <s v="Kazakhstan"/>
    <s v="Almaty"/>
    <s v="C004"/>
    <s v="Home Office"/>
    <x v="2"/>
    <s v="Tablet 10&quot;"/>
    <n v="2"/>
    <n v="350"/>
    <n v="0.15"/>
    <n v="18"/>
    <s v="Credit Card"/>
    <s v="Completed"/>
    <n v="699.15"/>
    <x v="0"/>
  </r>
  <r>
    <n v="10005"/>
    <x v="4"/>
    <d v="2023-02-18T00:00:00"/>
    <x v="3"/>
    <s v="Kazakhstan"/>
    <s v="Aktobe"/>
    <s v="C005"/>
    <s v="Consumer"/>
    <x v="3"/>
    <s v="Printer Paper"/>
    <n v="10"/>
    <n v="6"/>
    <n v="0"/>
    <n v="7"/>
    <s v="Cash"/>
    <s v="Completed"/>
    <n v="59"/>
    <x v="0"/>
  </r>
  <r>
    <n v="10006"/>
    <x v="5"/>
    <d v="2023-03-08T00:00:00"/>
    <x v="2"/>
    <s v="Kazakhstan"/>
    <s v="Astana"/>
    <s v="C006"/>
    <s v="Corporate"/>
    <x v="0"/>
    <s v="Monitor 27&quot;"/>
    <n v="2"/>
    <n v="420"/>
    <n v="0.08"/>
    <n v="22"/>
    <s v="Bank Transfer"/>
    <s v="Completed"/>
    <n v="839.08"/>
    <x v="0"/>
  </r>
  <r>
    <n v="10007"/>
    <x v="6"/>
    <d v="2023-03-14T00:00:00"/>
    <x v="1"/>
    <s v="Kazakhstan"/>
    <s v="Shymkent"/>
    <s v="C007"/>
    <s v="Consumer"/>
    <x v="2"/>
    <s v="Smartphone X"/>
    <n v="1"/>
    <n v="950"/>
    <n v="0.05"/>
    <n v="20"/>
    <s v="Credit Card"/>
    <s v="Returned"/>
    <n v="949.05"/>
    <x v="1"/>
  </r>
  <r>
    <n v="10008"/>
    <x v="7"/>
    <d v="2023-03-26T00:00:00"/>
    <x v="0"/>
    <s v="Kazakhstan"/>
    <s v="Almaty"/>
    <s v="C008"/>
    <s v="Corporate"/>
    <x v="1"/>
    <s v="Meeting Table"/>
    <n v="1"/>
    <n v="780"/>
    <n v="0.12"/>
    <n v="40"/>
    <s v="Bank Transfer"/>
    <s v="Completed"/>
    <n v="779.12"/>
    <x v="0"/>
  </r>
  <r>
    <n v="10009"/>
    <x v="8"/>
    <d v="2023-04-09T00:00:00"/>
    <x v="3"/>
    <s v="Kazakhstan"/>
    <s v="Atyrau"/>
    <s v="C009"/>
    <s v="Home Office"/>
    <x v="3"/>
    <s v="Ink Cartridge"/>
    <n v="4"/>
    <n v="45"/>
    <n v="0"/>
    <n v="8"/>
    <s v="Debit Card"/>
    <s v="Completed"/>
    <n v="179"/>
    <x v="0"/>
  </r>
  <r>
    <n v="10010"/>
    <x v="9"/>
    <d v="2023-04-22T00:00:00"/>
    <x v="2"/>
    <s v="Kazakhstan"/>
    <s v="Astana"/>
    <s v="C010"/>
    <s v="Consumer"/>
    <x v="0"/>
    <s v="Headphones"/>
    <n v="2"/>
    <n v="85"/>
    <n v="7.0000000000000007E-2"/>
    <n v="10"/>
    <s v="Credit Card"/>
    <s v="Completed"/>
    <n v="169.07"/>
    <x v="0"/>
  </r>
  <r>
    <n v="10011"/>
    <x v="10"/>
    <d v="2023-05-08T00:00:00"/>
    <x v="0"/>
    <s v="Kazakhstan"/>
    <s v="Almaty"/>
    <s v="C011"/>
    <s v="Corporate"/>
    <x v="2"/>
    <s v="Laptop Air 13"/>
    <n v="1"/>
    <n v="980"/>
    <n v="0.1"/>
    <n v="25"/>
    <s v="Bank Transfer"/>
    <s v="Completed"/>
    <n v="979.1"/>
    <x v="0"/>
  </r>
  <r>
    <n v="10012"/>
    <x v="11"/>
    <d v="2023-05-25T00:00:00"/>
    <x v="1"/>
    <s v="Kazakhstan"/>
    <s v="Shymkent"/>
    <s v="C012"/>
    <s v="Consumer"/>
    <x v="1"/>
    <s v="Bookshelf"/>
    <n v="2"/>
    <n v="210"/>
    <n v="0.05"/>
    <n v="18"/>
    <s v="Cash"/>
    <s v="Completed"/>
    <n v="419.05"/>
    <x v="0"/>
  </r>
  <r>
    <n v="10013"/>
    <x v="12"/>
    <d v="2023-06-06T00:00:00"/>
    <x v="2"/>
    <s v="Kazakhstan"/>
    <s v="Astana"/>
    <s v="C013"/>
    <s v="Home Office"/>
    <x v="3"/>
    <s v="Desk Lamp"/>
    <n v="3"/>
    <n v="32"/>
    <n v="0"/>
    <n v="6"/>
    <s v="Debit Card"/>
    <s v="Completed"/>
    <n v="95"/>
    <x v="0"/>
  </r>
  <r>
    <n v="10014"/>
    <x v="13"/>
    <d v="2023-06-19T00:00:00"/>
    <x v="3"/>
    <s v="Kazakhstan"/>
    <s v="Aktobe"/>
    <s v="C014"/>
    <s v="Corporate"/>
    <x v="0"/>
    <s v="External SSD 1TB"/>
    <n v="2"/>
    <n v="160"/>
    <n v="0.08"/>
    <n v="12"/>
    <s v="Credit Card"/>
    <s v="Completed"/>
    <n v="319.08"/>
    <x v="0"/>
  </r>
  <r>
    <n v="10015"/>
    <x v="14"/>
    <d v="2023-07-07T00:00:00"/>
    <x v="0"/>
    <s v="Kazakhstan"/>
    <s v="Almaty"/>
    <s v="C015"/>
    <s v="Consumer"/>
    <x v="2"/>
    <s v="Smartwatch"/>
    <n v="1"/>
    <n v="260"/>
    <n v="0.05"/>
    <n v="10"/>
    <s v="Credit Card"/>
    <s v="Completed"/>
    <n v="259.05"/>
    <x v="0"/>
  </r>
  <r>
    <n v="10016"/>
    <x v="15"/>
    <d v="2023-07-23T00:00:00"/>
    <x v="1"/>
    <s v="Kazakhstan"/>
    <s v="Shymkent"/>
    <s v="C016"/>
    <s v="Home Office"/>
    <x v="1"/>
    <s v="Office Desk"/>
    <n v="1"/>
    <n v="340"/>
    <n v="0.1"/>
    <n v="28"/>
    <s v="Cash"/>
    <s v="Completed"/>
    <n v="339.1"/>
    <x v="0"/>
  </r>
  <r>
    <n v="10017"/>
    <x v="16"/>
    <d v="2023-08-10T00:00:00"/>
    <x v="2"/>
    <s v="Kazakhstan"/>
    <s v="Astana"/>
    <s v="C017"/>
    <s v="Corporate"/>
    <x v="0"/>
    <s v="Keyboard Mechanical"/>
    <n v="4"/>
    <n v="95"/>
    <n v="0"/>
    <n v="14"/>
    <s v="Bank Transfer"/>
    <s v="Completed"/>
    <n v="379"/>
    <x v="0"/>
  </r>
  <r>
    <n v="10018"/>
    <x v="17"/>
    <d v="2023-08-26T00:00:00"/>
    <x v="3"/>
    <s v="Kazakhstan"/>
    <s v="Atyrau"/>
    <s v="C018"/>
    <s v="Consumer"/>
    <x v="3"/>
    <s v="Notebook Pack"/>
    <n v="6"/>
    <n v="12"/>
    <n v="0"/>
    <n v="5"/>
    <s v="Debit Card"/>
    <s v="Completed"/>
    <n v="71"/>
    <x v="0"/>
  </r>
  <r>
    <n v="10019"/>
    <x v="18"/>
    <d v="2023-09-09T00:00:00"/>
    <x v="0"/>
    <s v="Kazakhstan"/>
    <s v="Almaty"/>
    <s v="C019"/>
    <s v="Corporate"/>
    <x v="2"/>
    <s v="Projector HD"/>
    <n v="1"/>
    <n v="620"/>
    <n v="0.15"/>
    <n v="35"/>
    <s v="Bank Transfer"/>
    <s v="Completed"/>
    <n v="619.15"/>
    <x v="0"/>
  </r>
  <r>
    <n v="10020"/>
    <x v="19"/>
    <d v="2023-09-22T00:00:00"/>
    <x v="1"/>
    <s v="Kazakhstan"/>
    <s v="Shymkent"/>
    <s v="C020"/>
    <s v="Consumer"/>
    <x v="0"/>
    <s v="Bluetooth Speaker"/>
    <n v="2"/>
    <n v="120"/>
    <n v="0.05"/>
    <n v="12"/>
    <s v="Credit Card"/>
    <s v="Completed"/>
    <n v="239.0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0"/>
  </r>
  <r>
    <x v="3"/>
  </r>
  <r>
    <x v="2"/>
  </r>
  <r>
    <x v="1"/>
  </r>
  <r>
    <x v="0"/>
  </r>
  <r>
    <x v="3"/>
  </r>
  <r>
    <x v="2"/>
  </r>
  <r>
    <x v="0"/>
  </r>
  <r>
    <x v="1"/>
  </r>
  <r>
    <x v="2"/>
  </r>
  <r>
    <x v="3"/>
  </r>
  <r>
    <x v="0"/>
  </r>
  <r>
    <x v="1"/>
  </r>
  <r>
    <x v="2"/>
  </r>
  <r>
    <x v="3"/>
  </r>
  <r>
    <x v="0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BCE3-22C5-445E-AFEE-146A082F1AEE}" name="PivotTable6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8" firstHeaderRow="1" firstDataRow="1" firstDataCol="1"/>
  <pivotFields count="1">
    <pivotField axis="axisRow" showAll="0">
      <items count="5">
        <item x="0"/>
        <item x="2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B6693-07AA-4F6C-81F5-68593AABF96B}" name="PivotTable7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A3:B8" firstHeaderRow="1" firstDataRow="1" firstDataCol="1"/>
  <pivotFields count="19">
    <pivotField showAll="0"/>
    <pivotField numFmtId="14"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By Regio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4586-5E56-46D3-8F69-6696EB7C1E30}">
  <dimension ref="A3:A8"/>
  <sheetViews>
    <sheetView workbookViewId="0">
      <selection activeCell="A3" sqref="A3"/>
    </sheetView>
  </sheetViews>
  <sheetFormatPr defaultRowHeight="14.4"/>
  <cols>
    <col min="1" max="1" width="12.5546875" bestFit="1" customWidth="1"/>
  </cols>
  <sheetData>
    <row r="3" spans="1:1">
      <c r="A3" s="4" t="s">
        <v>83</v>
      </c>
    </row>
    <row r="4" spans="1:1">
      <c r="A4" s="5" t="s">
        <v>16</v>
      </c>
    </row>
    <row r="5" spans="1:1">
      <c r="A5" s="5" t="s">
        <v>32</v>
      </c>
    </row>
    <row r="6" spans="1:1">
      <c r="A6" s="5" t="s">
        <v>25</v>
      </c>
    </row>
    <row r="7" spans="1:1">
      <c r="A7" s="5" t="s">
        <v>41</v>
      </c>
    </row>
    <row r="8" spans="1:1">
      <c r="A8" s="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F6C3-B1CB-437D-AEAB-B12773F72BB0}">
  <dimension ref="A3:B8"/>
  <sheetViews>
    <sheetView workbookViewId="0">
      <selection activeCell="C13" sqref="C13"/>
    </sheetView>
  </sheetViews>
  <sheetFormatPr defaultRowHeight="14.4"/>
  <cols>
    <col min="1" max="1" width="12.5546875" bestFit="1" customWidth="1"/>
    <col min="2" max="2" width="14.88671875" bestFit="1" customWidth="1"/>
  </cols>
  <sheetData>
    <row r="3" spans="1:2">
      <c r="A3" s="4" t="s">
        <v>81</v>
      </c>
      <c r="B3" t="s">
        <v>80</v>
      </c>
    </row>
    <row r="4" spans="1:2">
      <c r="A4" s="5" t="s">
        <v>16</v>
      </c>
      <c r="B4" s="2">
        <v>4534.62</v>
      </c>
    </row>
    <row r="5" spans="1:2">
      <c r="A5" s="5" t="s">
        <v>32</v>
      </c>
      <c r="B5" s="2">
        <v>1606.15</v>
      </c>
    </row>
    <row r="6" spans="1:2">
      <c r="A6" s="5" t="s">
        <v>25</v>
      </c>
      <c r="B6" s="2">
        <v>2485.3500000000004</v>
      </c>
    </row>
    <row r="7" spans="1:2">
      <c r="A7" s="5" t="s">
        <v>41</v>
      </c>
      <c r="B7" s="2">
        <v>628.07999999999993</v>
      </c>
    </row>
    <row r="8" spans="1:2">
      <c r="A8" s="5" t="s">
        <v>84</v>
      </c>
      <c r="B8" s="2">
        <v>9254.2000000000007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workbookViewId="0">
      <selection activeCell="O1" sqref="O1"/>
    </sheetView>
  </sheetViews>
  <sheetFormatPr defaultRowHeight="14.4"/>
  <cols>
    <col min="1" max="1" width="10.44140625" customWidth="1"/>
    <col min="2" max="2" width="11.33203125" style="1" bestFit="1" customWidth="1"/>
    <col min="3" max="3" width="9.5546875" style="1" bestFit="1" customWidth="1"/>
  </cols>
  <sheetData>
    <row r="1" spans="1:20" ht="43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79</v>
      </c>
      <c r="R1" s="3" t="s">
        <v>82</v>
      </c>
      <c r="S1" s="8" t="s">
        <v>80</v>
      </c>
      <c r="T1" s="8" t="s">
        <v>85</v>
      </c>
    </row>
    <row r="2" spans="1:20">
      <c r="A2">
        <v>10001</v>
      </c>
      <c r="B2" s="1">
        <v>44931</v>
      </c>
      <c r="C2" s="1">
        <v>44934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>
        <v>1200</v>
      </c>
      <c r="M2">
        <v>0.05</v>
      </c>
      <c r="N2">
        <v>25</v>
      </c>
      <c r="O2" t="s">
        <v>23</v>
      </c>
      <c r="P2" t="s">
        <v>24</v>
      </c>
      <c r="Q2">
        <f>K2*L2-(1-M2)</f>
        <v>1199.05</v>
      </c>
      <c r="R2">
        <f>COUNTIFS(P2,"Returned")</f>
        <v>0</v>
      </c>
      <c r="S2">
        <f>VLOOKUP(D2, Sheet7!A:B, 2, FALSE)</f>
        <v>4534.62</v>
      </c>
      <c r="T2" t="str">
        <f>IFERROR(VLOOKUP(G2,customers!A:B,2,FALSE),"Unknown")</f>
        <v>Consumer</v>
      </c>
    </row>
    <row r="3" spans="1:20">
      <c r="A3">
        <v>10002</v>
      </c>
      <c r="B3" s="1">
        <v>44933</v>
      </c>
      <c r="C3" s="1">
        <v>44936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3</v>
      </c>
      <c r="L3">
        <v>180</v>
      </c>
      <c r="M3">
        <v>0.1</v>
      </c>
      <c r="N3">
        <v>15</v>
      </c>
      <c r="O3" t="s">
        <v>31</v>
      </c>
      <c r="P3" t="s">
        <v>24</v>
      </c>
      <c r="Q3">
        <f t="shared" ref="Q3:Q21" si="0">K3*L3-(1-M3)</f>
        <v>539.1</v>
      </c>
      <c r="R3">
        <f t="shared" ref="R3:R21" si="1">COUNTIFS(P3,"Returned")</f>
        <v>0</v>
      </c>
      <c r="S3">
        <f>VLOOKUP(D3, Sheet7!A:B, 2, FALSE)</f>
        <v>2485.3500000000004</v>
      </c>
      <c r="T3" t="str">
        <f>IFERROR(VLOOKUP(G3,customers!A:B,2,FALSE),"Unknown")</f>
        <v>Corporate</v>
      </c>
    </row>
    <row r="4" spans="1:20">
      <c r="A4">
        <v>10003</v>
      </c>
      <c r="B4" s="1">
        <v>44938</v>
      </c>
      <c r="C4" s="1">
        <v>44942</v>
      </c>
      <c r="D4" t="s">
        <v>32</v>
      </c>
      <c r="E4" t="s">
        <v>17</v>
      </c>
      <c r="F4" t="s">
        <v>33</v>
      </c>
      <c r="G4" t="s">
        <v>34</v>
      </c>
      <c r="H4" t="s">
        <v>20</v>
      </c>
      <c r="I4" t="s">
        <v>21</v>
      </c>
      <c r="J4" t="s">
        <v>35</v>
      </c>
      <c r="K4">
        <v>5</v>
      </c>
      <c r="L4">
        <v>25</v>
      </c>
      <c r="M4">
        <v>0</v>
      </c>
      <c r="N4">
        <v>5</v>
      </c>
      <c r="O4" t="s">
        <v>36</v>
      </c>
      <c r="P4" t="s">
        <v>24</v>
      </c>
      <c r="Q4">
        <f t="shared" si="0"/>
        <v>124</v>
      </c>
      <c r="R4">
        <f t="shared" si="1"/>
        <v>0</v>
      </c>
      <c r="S4">
        <f>VLOOKUP(D4, Sheet7!A:B, 2, FALSE)</f>
        <v>1606.15</v>
      </c>
      <c r="T4" t="str">
        <f>IFERROR(VLOOKUP(G4,customers!A:B,2,FALSE),"Unknown")</f>
        <v>Consumer</v>
      </c>
    </row>
    <row r="5" spans="1:20">
      <c r="A5">
        <v>10004</v>
      </c>
      <c r="B5" s="1">
        <v>44959</v>
      </c>
      <c r="C5" s="1">
        <v>44962</v>
      </c>
      <c r="D5" t="s">
        <v>16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 t="s">
        <v>40</v>
      </c>
      <c r="K5">
        <v>2</v>
      </c>
      <c r="L5">
        <v>350</v>
      </c>
      <c r="M5">
        <v>0.15</v>
      </c>
      <c r="N5">
        <v>18</v>
      </c>
      <c r="O5" t="s">
        <v>23</v>
      </c>
      <c r="P5" t="s">
        <v>24</v>
      </c>
      <c r="Q5">
        <f t="shared" si="0"/>
        <v>699.15</v>
      </c>
      <c r="R5">
        <f t="shared" si="1"/>
        <v>0</v>
      </c>
      <c r="S5">
        <f>VLOOKUP(D5, Sheet7!A:B, 2, FALSE)</f>
        <v>4534.62</v>
      </c>
      <c r="T5" t="str">
        <f>IFERROR(VLOOKUP(G5,customers!A:B,2,FALSE),"Unknown")</f>
        <v>Home Office</v>
      </c>
    </row>
    <row r="6" spans="1:20">
      <c r="A6">
        <v>10005</v>
      </c>
      <c r="B6" s="1">
        <v>44972</v>
      </c>
      <c r="C6" s="1">
        <v>44975</v>
      </c>
      <c r="D6" t="s">
        <v>41</v>
      </c>
      <c r="E6" t="s">
        <v>17</v>
      </c>
      <c r="F6" t="s">
        <v>42</v>
      </c>
      <c r="G6" t="s">
        <v>43</v>
      </c>
      <c r="H6" t="s">
        <v>20</v>
      </c>
      <c r="I6" t="s">
        <v>44</v>
      </c>
      <c r="J6" t="s">
        <v>45</v>
      </c>
      <c r="K6">
        <v>10</v>
      </c>
      <c r="L6">
        <v>6</v>
      </c>
      <c r="M6">
        <v>0</v>
      </c>
      <c r="N6">
        <v>7</v>
      </c>
      <c r="O6" t="s">
        <v>31</v>
      </c>
      <c r="P6" t="s">
        <v>24</v>
      </c>
      <c r="Q6">
        <f t="shared" si="0"/>
        <v>59</v>
      </c>
      <c r="R6">
        <f t="shared" si="1"/>
        <v>0</v>
      </c>
      <c r="S6">
        <f>VLOOKUP(D6, Sheet7!A:B, 2, FALSE)</f>
        <v>628.07999999999993</v>
      </c>
      <c r="T6" t="str">
        <f>IFERROR(VLOOKUP(G6,customers!A:B,2,FALSE),"Unknown")</f>
        <v>Consumer</v>
      </c>
    </row>
    <row r="7" spans="1:20">
      <c r="A7">
        <v>10006</v>
      </c>
      <c r="B7" s="1">
        <v>44988</v>
      </c>
      <c r="C7" s="1">
        <v>44993</v>
      </c>
      <c r="D7" t="s">
        <v>32</v>
      </c>
      <c r="E7" t="s">
        <v>17</v>
      </c>
      <c r="F7" t="s">
        <v>33</v>
      </c>
      <c r="G7" t="s">
        <v>46</v>
      </c>
      <c r="H7" t="s">
        <v>28</v>
      </c>
      <c r="I7" t="s">
        <v>21</v>
      </c>
      <c r="J7" t="s">
        <v>47</v>
      </c>
      <c r="K7">
        <v>2</v>
      </c>
      <c r="L7">
        <v>420</v>
      </c>
      <c r="M7">
        <v>0.08</v>
      </c>
      <c r="N7">
        <v>22</v>
      </c>
      <c r="O7" t="s">
        <v>48</v>
      </c>
      <c r="P7" t="s">
        <v>24</v>
      </c>
      <c r="Q7">
        <f t="shared" si="0"/>
        <v>839.08</v>
      </c>
      <c r="R7">
        <f t="shared" si="1"/>
        <v>0</v>
      </c>
      <c r="S7">
        <f>VLOOKUP(D7, Sheet7!A:B, 2, FALSE)</f>
        <v>1606.15</v>
      </c>
      <c r="T7" t="str">
        <f>IFERROR(VLOOKUP(G7,customers!A:B,2,FALSE),"Unknown")</f>
        <v>Corporate</v>
      </c>
    </row>
    <row r="8" spans="1:20">
      <c r="A8">
        <v>10007</v>
      </c>
      <c r="B8" s="1">
        <v>44995</v>
      </c>
      <c r="C8" s="1">
        <v>44999</v>
      </c>
      <c r="D8" t="s">
        <v>25</v>
      </c>
      <c r="E8" t="s">
        <v>17</v>
      </c>
      <c r="F8" t="s">
        <v>26</v>
      </c>
      <c r="G8" t="s">
        <v>49</v>
      </c>
      <c r="H8" t="s">
        <v>20</v>
      </c>
      <c r="I8" t="s">
        <v>39</v>
      </c>
      <c r="J8" t="s">
        <v>50</v>
      </c>
      <c r="K8">
        <v>1</v>
      </c>
      <c r="L8">
        <v>950</v>
      </c>
      <c r="M8">
        <v>0.05</v>
      </c>
      <c r="N8">
        <v>20</v>
      </c>
      <c r="O8" t="s">
        <v>23</v>
      </c>
      <c r="P8" t="s">
        <v>51</v>
      </c>
      <c r="Q8">
        <f t="shared" si="0"/>
        <v>949.05</v>
      </c>
      <c r="R8">
        <f t="shared" si="1"/>
        <v>1</v>
      </c>
      <c r="S8">
        <f>VLOOKUP(D8, Sheet7!A:B, 2, FALSE)</f>
        <v>2485.3500000000004</v>
      </c>
      <c r="T8" t="str">
        <f>IFERROR(VLOOKUP(G8,customers!A:B,2,FALSE),"Unknown")</f>
        <v>Consumer</v>
      </c>
    </row>
    <row r="9" spans="1:20">
      <c r="A9">
        <v>10008</v>
      </c>
      <c r="B9" s="1">
        <v>45007</v>
      </c>
      <c r="C9" s="1">
        <v>45011</v>
      </c>
      <c r="D9" t="s">
        <v>16</v>
      </c>
      <c r="E9" t="s">
        <v>17</v>
      </c>
      <c r="F9" t="s">
        <v>18</v>
      </c>
      <c r="G9" t="s">
        <v>52</v>
      </c>
      <c r="H9" t="s">
        <v>28</v>
      </c>
      <c r="I9" t="s">
        <v>29</v>
      </c>
      <c r="J9" t="s">
        <v>53</v>
      </c>
      <c r="K9">
        <v>1</v>
      </c>
      <c r="L9">
        <v>780</v>
      </c>
      <c r="M9">
        <v>0.12</v>
      </c>
      <c r="N9">
        <v>40</v>
      </c>
      <c r="O9" t="s">
        <v>48</v>
      </c>
      <c r="P9" t="s">
        <v>24</v>
      </c>
      <c r="Q9">
        <f t="shared" si="0"/>
        <v>779.12</v>
      </c>
      <c r="R9">
        <f t="shared" si="1"/>
        <v>0</v>
      </c>
      <c r="S9">
        <f>VLOOKUP(D9, Sheet7!A:B, 2, FALSE)</f>
        <v>4534.62</v>
      </c>
      <c r="T9" t="str">
        <f>IFERROR(VLOOKUP(G9,customers!A:B,2,FALSE),"Unknown")</f>
        <v>Corporate</v>
      </c>
    </row>
    <row r="10" spans="1:20">
      <c r="A10">
        <v>10009</v>
      </c>
      <c r="B10" s="1">
        <v>45021</v>
      </c>
      <c r="C10" s="1">
        <v>45025</v>
      </c>
      <c r="D10" t="s">
        <v>41</v>
      </c>
      <c r="E10" t="s">
        <v>17</v>
      </c>
      <c r="F10" t="s">
        <v>54</v>
      </c>
      <c r="G10" t="s">
        <v>55</v>
      </c>
      <c r="H10" t="s">
        <v>38</v>
      </c>
      <c r="I10" t="s">
        <v>44</v>
      </c>
      <c r="J10" t="s">
        <v>56</v>
      </c>
      <c r="K10">
        <v>4</v>
      </c>
      <c r="L10">
        <v>45</v>
      </c>
      <c r="M10">
        <v>0</v>
      </c>
      <c r="N10">
        <v>8</v>
      </c>
      <c r="O10" t="s">
        <v>36</v>
      </c>
      <c r="P10" t="s">
        <v>24</v>
      </c>
      <c r="Q10">
        <f t="shared" si="0"/>
        <v>179</v>
      </c>
      <c r="R10">
        <f t="shared" si="1"/>
        <v>0</v>
      </c>
      <c r="S10">
        <f>VLOOKUP(D10, Sheet7!A:B, 2, FALSE)</f>
        <v>628.07999999999993</v>
      </c>
      <c r="T10" t="str">
        <f>IFERROR(VLOOKUP(G10,customers!A:B,2,FALSE),"Unknown")</f>
        <v>Home Office</v>
      </c>
    </row>
    <row r="11" spans="1:20">
      <c r="A11">
        <v>10010</v>
      </c>
      <c r="B11" s="1">
        <v>45034</v>
      </c>
      <c r="C11" s="1">
        <v>45038</v>
      </c>
      <c r="D11" t="s">
        <v>32</v>
      </c>
      <c r="E11" t="s">
        <v>17</v>
      </c>
      <c r="F11" t="s">
        <v>33</v>
      </c>
      <c r="G11" t="s">
        <v>57</v>
      </c>
      <c r="H11" t="s">
        <v>20</v>
      </c>
      <c r="I11" t="s">
        <v>21</v>
      </c>
      <c r="J11" t="s">
        <v>58</v>
      </c>
      <c r="K11">
        <v>2</v>
      </c>
      <c r="L11">
        <v>85</v>
      </c>
      <c r="M11">
        <v>7.0000000000000007E-2</v>
      </c>
      <c r="N11">
        <v>10</v>
      </c>
      <c r="O11" t="s">
        <v>23</v>
      </c>
      <c r="P11" t="s">
        <v>24</v>
      </c>
      <c r="Q11">
        <f t="shared" si="0"/>
        <v>169.07</v>
      </c>
      <c r="R11">
        <f t="shared" si="1"/>
        <v>0</v>
      </c>
      <c r="S11">
        <f>VLOOKUP(D11, Sheet7!A:B, 2, FALSE)</f>
        <v>1606.15</v>
      </c>
      <c r="T11" t="str">
        <f>IFERROR(VLOOKUP(G11,customers!A:B,2,FALSE),"Unknown")</f>
        <v>Consumer</v>
      </c>
    </row>
    <row r="12" spans="1:20">
      <c r="A12">
        <v>10011</v>
      </c>
      <c r="B12" s="1">
        <v>45050</v>
      </c>
      <c r="C12" s="1">
        <v>45054</v>
      </c>
      <c r="D12" t="s">
        <v>16</v>
      </c>
      <c r="E12" t="s">
        <v>17</v>
      </c>
      <c r="F12" t="s">
        <v>18</v>
      </c>
      <c r="G12" t="s">
        <v>59</v>
      </c>
      <c r="H12" t="s">
        <v>28</v>
      </c>
      <c r="I12" t="s">
        <v>39</v>
      </c>
      <c r="J12" t="s">
        <v>60</v>
      </c>
      <c r="K12">
        <v>1</v>
      </c>
      <c r="L12">
        <v>980</v>
      </c>
      <c r="M12">
        <v>0.1</v>
      </c>
      <c r="N12">
        <v>25</v>
      </c>
      <c r="O12" t="s">
        <v>48</v>
      </c>
      <c r="P12" t="s">
        <v>24</v>
      </c>
      <c r="Q12">
        <f t="shared" si="0"/>
        <v>979.1</v>
      </c>
      <c r="R12">
        <f t="shared" si="1"/>
        <v>0</v>
      </c>
      <c r="S12">
        <f>VLOOKUP(D12, Sheet7!A:B, 2, FALSE)</f>
        <v>4534.62</v>
      </c>
      <c r="T12" t="str">
        <f>IFERROR(VLOOKUP(G12,customers!A:B,2,FALSE),"Unknown")</f>
        <v>Corporate</v>
      </c>
    </row>
    <row r="13" spans="1:20">
      <c r="A13">
        <v>10012</v>
      </c>
      <c r="B13" s="1">
        <v>45065</v>
      </c>
      <c r="C13" s="1">
        <v>45071</v>
      </c>
      <c r="D13" t="s">
        <v>25</v>
      </c>
      <c r="E13" t="s">
        <v>17</v>
      </c>
      <c r="F13" t="s">
        <v>26</v>
      </c>
      <c r="G13" t="s">
        <v>61</v>
      </c>
      <c r="H13" t="s">
        <v>20</v>
      </c>
      <c r="I13" t="s">
        <v>29</v>
      </c>
      <c r="J13" t="s">
        <v>62</v>
      </c>
      <c r="K13">
        <v>2</v>
      </c>
      <c r="L13">
        <v>210</v>
      </c>
      <c r="M13">
        <v>0.05</v>
      </c>
      <c r="N13">
        <v>18</v>
      </c>
      <c r="O13" t="s">
        <v>31</v>
      </c>
      <c r="P13" t="s">
        <v>24</v>
      </c>
      <c r="Q13">
        <f t="shared" si="0"/>
        <v>419.05</v>
      </c>
      <c r="R13">
        <f t="shared" si="1"/>
        <v>0</v>
      </c>
      <c r="S13">
        <f>VLOOKUP(D13, Sheet7!A:B, 2, FALSE)</f>
        <v>2485.3500000000004</v>
      </c>
      <c r="T13" t="str">
        <f>IFERROR(VLOOKUP(G13,customers!A:B,2,FALSE),"Unknown")</f>
        <v>Consumer</v>
      </c>
    </row>
    <row r="14" spans="1:20">
      <c r="A14">
        <v>10013</v>
      </c>
      <c r="B14" s="1">
        <v>45079</v>
      </c>
      <c r="C14" s="1">
        <v>45083</v>
      </c>
      <c r="D14" t="s">
        <v>32</v>
      </c>
      <c r="E14" t="s">
        <v>17</v>
      </c>
      <c r="F14" t="s">
        <v>33</v>
      </c>
      <c r="G14" t="s">
        <v>63</v>
      </c>
      <c r="H14" t="s">
        <v>38</v>
      </c>
      <c r="I14" t="s">
        <v>44</v>
      </c>
      <c r="J14" t="s">
        <v>64</v>
      </c>
      <c r="K14">
        <v>3</v>
      </c>
      <c r="L14">
        <v>32</v>
      </c>
      <c r="M14">
        <v>0</v>
      </c>
      <c r="N14">
        <v>6</v>
      </c>
      <c r="O14" t="s">
        <v>36</v>
      </c>
      <c r="P14" t="s">
        <v>24</v>
      </c>
      <c r="Q14">
        <f t="shared" si="0"/>
        <v>95</v>
      </c>
      <c r="R14">
        <f t="shared" si="1"/>
        <v>0</v>
      </c>
      <c r="S14">
        <f>VLOOKUP(D14, Sheet7!A:B, 2, FALSE)</f>
        <v>1606.15</v>
      </c>
      <c r="T14" t="str">
        <f>IFERROR(VLOOKUP(G14,customers!A:B,2,FALSE),"Unknown")</f>
        <v>Home Office</v>
      </c>
    </row>
    <row r="15" spans="1:20">
      <c r="A15">
        <v>10014</v>
      </c>
      <c r="B15" s="1">
        <v>45092</v>
      </c>
      <c r="C15" s="1">
        <v>45096</v>
      </c>
      <c r="D15" t="s">
        <v>41</v>
      </c>
      <c r="E15" t="s">
        <v>17</v>
      </c>
      <c r="F15" t="s">
        <v>42</v>
      </c>
      <c r="G15" t="s">
        <v>65</v>
      </c>
      <c r="H15" t="s">
        <v>28</v>
      </c>
      <c r="I15" t="s">
        <v>21</v>
      </c>
      <c r="J15" t="s">
        <v>66</v>
      </c>
      <c r="K15">
        <v>2</v>
      </c>
      <c r="L15">
        <v>160</v>
      </c>
      <c r="M15">
        <v>0.08</v>
      </c>
      <c r="N15">
        <v>12</v>
      </c>
      <c r="O15" t="s">
        <v>23</v>
      </c>
      <c r="P15" t="s">
        <v>24</v>
      </c>
      <c r="Q15">
        <f t="shared" si="0"/>
        <v>319.08</v>
      </c>
      <c r="R15">
        <f t="shared" si="1"/>
        <v>0</v>
      </c>
      <c r="S15">
        <f>VLOOKUP(D15, Sheet7!A:B, 2, FALSE)</f>
        <v>628.07999999999993</v>
      </c>
      <c r="T15" t="str">
        <f>IFERROR(VLOOKUP(G15,customers!A:B,2,FALSE),"Unknown")</f>
        <v>Corporate</v>
      </c>
    </row>
    <row r="16" spans="1:20">
      <c r="A16">
        <v>10015</v>
      </c>
      <c r="B16" s="1">
        <v>45110</v>
      </c>
      <c r="C16" s="1">
        <v>45114</v>
      </c>
      <c r="D16" t="s">
        <v>16</v>
      </c>
      <c r="E16" t="s">
        <v>17</v>
      </c>
      <c r="F16" t="s">
        <v>18</v>
      </c>
      <c r="G16" t="s">
        <v>67</v>
      </c>
      <c r="H16" t="s">
        <v>20</v>
      </c>
      <c r="I16" t="s">
        <v>39</v>
      </c>
      <c r="J16" t="s">
        <v>68</v>
      </c>
      <c r="K16">
        <v>1</v>
      </c>
      <c r="L16">
        <v>260</v>
      </c>
      <c r="M16">
        <v>0.05</v>
      </c>
      <c r="N16">
        <v>10</v>
      </c>
      <c r="O16" t="s">
        <v>23</v>
      </c>
      <c r="P16" t="s">
        <v>24</v>
      </c>
      <c r="Q16">
        <f t="shared" si="0"/>
        <v>259.05</v>
      </c>
      <c r="R16">
        <f t="shared" si="1"/>
        <v>0</v>
      </c>
      <c r="S16">
        <f>VLOOKUP(D16, Sheet7!A:B, 2, FALSE)</f>
        <v>4534.62</v>
      </c>
      <c r="T16" t="str">
        <f>IFERROR(VLOOKUP(G16,customers!A:B,2,FALSE),"Unknown")</f>
        <v>Consumer</v>
      </c>
    </row>
    <row r="17" spans="1:20">
      <c r="A17">
        <v>10016</v>
      </c>
      <c r="B17" s="1">
        <v>45125</v>
      </c>
      <c r="C17" s="1">
        <v>45130</v>
      </c>
      <c r="D17" t="s">
        <v>25</v>
      </c>
      <c r="E17" t="s">
        <v>17</v>
      </c>
      <c r="F17" t="s">
        <v>26</v>
      </c>
      <c r="G17" t="s">
        <v>69</v>
      </c>
      <c r="H17" t="s">
        <v>38</v>
      </c>
      <c r="I17" t="s">
        <v>29</v>
      </c>
      <c r="J17" t="s">
        <v>70</v>
      </c>
      <c r="K17">
        <v>1</v>
      </c>
      <c r="L17">
        <v>340</v>
      </c>
      <c r="M17">
        <v>0.1</v>
      </c>
      <c r="N17">
        <v>28</v>
      </c>
      <c r="O17" t="s">
        <v>31</v>
      </c>
      <c r="P17" t="s">
        <v>24</v>
      </c>
      <c r="Q17">
        <f t="shared" si="0"/>
        <v>339.1</v>
      </c>
      <c r="R17">
        <f t="shared" si="1"/>
        <v>0</v>
      </c>
      <c r="S17">
        <f>VLOOKUP(D17, Sheet7!A:B, 2, FALSE)</f>
        <v>2485.3500000000004</v>
      </c>
      <c r="T17" t="str">
        <f>IFERROR(VLOOKUP(G17,customers!A:B,2,FALSE),"Unknown")</f>
        <v>Home Office</v>
      </c>
    </row>
    <row r="18" spans="1:20">
      <c r="A18">
        <v>10017</v>
      </c>
      <c r="B18" s="1">
        <v>45144</v>
      </c>
      <c r="C18" s="1">
        <v>45148</v>
      </c>
      <c r="D18" t="s">
        <v>32</v>
      </c>
      <c r="E18" t="s">
        <v>17</v>
      </c>
      <c r="F18" t="s">
        <v>33</v>
      </c>
      <c r="G18" t="s">
        <v>71</v>
      </c>
      <c r="H18" t="s">
        <v>28</v>
      </c>
      <c r="I18" t="s">
        <v>21</v>
      </c>
      <c r="J18" t="s">
        <v>72</v>
      </c>
      <c r="K18">
        <v>4</v>
      </c>
      <c r="L18">
        <v>95</v>
      </c>
      <c r="M18">
        <v>0</v>
      </c>
      <c r="N18">
        <v>14</v>
      </c>
      <c r="O18" t="s">
        <v>48</v>
      </c>
      <c r="P18" t="s">
        <v>24</v>
      </c>
      <c r="Q18">
        <f t="shared" si="0"/>
        <v>379</v>
      </c>
      <c r="R18">
        <f t="shared" si="1"/>
        <v>0</v>
      </c>
      <c r="S18">
        <f>VLOOKUP(D18, Sheet7!A:B, 2, FALSE)</f>
        <v>1606.15</v>
      </c>
      <c r="T18" t="str">
        <f>IFERROR(VLOOKUP(G18,customers!A:B,2,FALSE),"Unknown")</f>
        <v>Corporate</v>
      </c>
    </row>
    <row r="19" spans="1:20">
      <c r="A19">
        <v>10018</v>
      </c>
      <c r="B19" s="1">
        <v>45159</v>
      </c>
      <c r="C19" s="1">
        <v>45164</v>
      </c>
      <c r="D19" t="s">
        <v>41</v>
      </c>
      <c r="E19" t="s">
        <v>17</v>
      </c>
      <c r="F19" t="s">
        <v>54</v>
      </c>
      <c r="G19" t="s">
        <v>73</v>
      </c>
      <c r="H19" t="s">
        <v>20</v>
      </c>
      <c r="I19" t="s">
        <v>44</v>
      </c>
      <c r="J19" t="s">
        <v>74</v>
      </c>
      <c r="K19">
        <v>6</v>
      </c>
      <c r="L19">
        <v>12</v>
      </c>
      <c r="M19">
        <v>0</v>
      </c>
      <c r="N19">
        <v>5</v>
      </c>
      <c r="O19" t="s">
        <v>36</v>
      </c>
      <c r="P19" t="s">
        <v>24</v>
      </c>
      <c r="Q19">
        <f t="shared" si="0"/>
        <v>71</v>
      </c>
      <c r="R19">
        <f t="shared" si="1"/>
        <v>0</v>
      </c>
      <c r="S19">
        <f>VLOOKUP(D19, Sheet7!A:B, 2, FALSE)</f>
        <v>628.07999999999993</v>
      </c>
      <c r="T19" t="str">
        <f>IFERROR(VLOOKUP(G19,customers!A:B,2,FALSE),"Unknown")</f>
        <v>Consumer</v>
      </c>
    </row>
    <row r="20" spans="1:20">
      <c r="A20">
        <v>10019</v>
      </c>
      <c r="B20" s="1">
        <v>45173</v>
      </c>
      <c r="C20" s="1">
        <v>45178</v>
      </c>
      <c r="D20" t="s">
        <v>16</v>
      </c>
      <c r="E20" t="s">
        <v>17</v>
      </c>
      <c r="F20" t="s">
        <v>18</v>
      </c>
      <c r="G20" t="s">
        <v>75</v>
      </c>
      <c r="H20" t="s">
        <v>28</v>
      </c>
      <c r="I20" t="s">
        <v>39</v>
      </c>
      <c r="J20" t="s">
        <v>76</v>
      </c>
      <c r="K20">
        <v>1</v>
      </c>
      <c r="L20">
        <v>620</v>
      </c>
      <c r="M20">
        <v>0.15</v>
      </c>
      <c r="N20">
        <v>35</v>
      </c>
      <c r="O20" t="s">
        <v>48</v>
      </c>
      <c r="P20" t="s">
        <v>24</v>
      </c>
      <c r="Q20">
        <f t="shared" si="0"/>
        <v>619.15</v>
      </c>
      <c r="R20">
        <f t="shared" si="1"/>
        <v>0</v>
      </c>
      <c r="S20">
        <f>VLOOKUP(D20, Sheet7!A:B, 2, FALSE)</f>
        <v>4534.62</v>
      </c>
      <c r="T20" t="str">
        <f>IFERROR(VLOOKUP(G20,customers!A:B,2,FALSE),"Unknown")</f>
        <v>Corporate</v>
      </c>
    </row>
    <row r="21" spans="1:20">
      <c r="A21">
        <v>10020</v>
      </c>
      <c r="B21" s="1">
        <v>45186</v>
      </c>
      <c r="C21" s="1">
        <v>45191</v>
      </c>
      <c r="D21" t="s">
        <v>25</v>
      </c>
      <c r="E21" t="s">
        <v>17</v>
      </c>
      <c r="F21" t="s">
        <v>26</v>
      </c>
      <c r="G21" t="s">
        <v>77</v>
      </c>
      <c r="H21" t="s">
        <v>20</v>
      </c>
      <c r="I21" t="s">
        <v>21</v>
      </c>
      <c r="J21" t="s">
        <v>78</v>
      </c>
      <c r="K21">
        <v>2</v>
      </c>
      <c r="L21">
        <v>120</v>
      </c>
      <c r="M21">
        <v>0.05</v>
      </c>
      <c r="N21">
        <v>12</v>
      </c>
      <c r="O21" t="s">
        <v>23</v>
      </c>
      <c r="P21" t="s">
        <v>24</v>
      </c>
      <c r="Q21">
        <f t="shared" si="0"/>
        <v>239.05</v>
      </c>
      <c r="R21">
        <f t="shared" si="1"/>
        <v>0</v>
      </c>
      <c r="S21">
        <f>VLOOKUP(D21, Sheet7!A:B, 2, FALSE)</f>
        <v>2485.3500000000004</v>
      </c>
      <c r="T21" t="str">
        <f>IFERROR(VLOOKUP(G21,customers!A:B,2,FALSE),"Unknown")</f>
        <v>Consumer</v>
      </c>
    </row>
    <row r="26" spans="1:20">
      <c r="B26"/>
    </row>
    <row r="27" spans="1:20">
      <c r="B27"/>
    </row>
    <row r="28" spans="1:20">
      <c r="B28"/>
    </row>
    <row r="29" spans="1:20">
      <c r="B29"/>
    </row>
    <row r="30" spans="1:20">
      <c r="B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DBD7-01F8-4749-B86C-D8E372588861}">
  <dimension ref="A1:B21"/>
  <sheetViews>
    <sheetView workbookViewId="0">
      <selection activeCell="C3" sqref="C3"/>
    </sheetView>
  </sheetViews>
  <sheetFormatPr defaultRowHeight="14.4"/>
  <sheetData>
    <row r="1" spans="1:2" ht="43.2">
      <c r="A1" s="6" t="s">
        <v>6</v>
      </c>
      <c r="B1" s="6" t="s">
        <v>7</v>
      </c>
    </row>
    <row r="2" spans="1:2" ht="28.8">
      <c r="A2" s="7" t="s">
        <v>19</v>
      </c>
      <c r="B2" s="7" t="s">
        <v>20</v>
      </c>
    </row>
    <row r="3" spans="1:2" ht="28.8">
      <c r="A3" s="7" t="s">
        <v>27</v>
      </c>
      <c r="B3" s="7" t="s">
        <v>28</v>
      </c>
    </row>
    <row r="4" spans="1:2" ht="28.8">
      <c r="A4" s="7" t="s">
        <v>34</v>
      </c>
      <c r="B4" s="7" t="s">
        <v>20</v>
      </c>
    </row>
    <row r="5" spans="1:2" ht="28.8">
      <c r="A5" s="7" t="s">
        <v>37</v>
      </c>
      <c r="B5" s="7" t="s">
        <v>38</v>
      </c>
    </row>
    <row r="6" spans="1:2" ht="28.8">
      <c r="A6" s="7" t="s">
        <v>43</v>
      </c>
      <c r="B6" s="7" t="s">
        <v>20</v>
      </c>
    </row>
    <row r="7" spans="1:2" ht="28.8">
      <c r="A7" s="7" t="s">
        <v>46</v>
      </c>
      <c r="B7" s="7" t="s">
        <v>28</v>
      </c>
    </row>
    <row r="8" spans="1:2" ht="28.8">
      <c r="A8" s="7" t="s">
        <v>49</v>
      </c>
      <c r="B8" s="7" t="s">
        <v>20</v>
      </c>
    </row>
    <row r="9" spans="1:2" ht="28.8">
      <c r="A9" s="7" t="s">
        <v>52</v>
      </c>
      <c r="B9" s="7" t="s">
        <v>28</v>
      </c>
    </row>
    <row r="10" spans="1:2" ht="28.8">
      <c r="A10" s="7" t="s">
        <v>55</v>
      </c>
      <c r="B10" s="7" t="s">
        <v>38</v>
      </c>
    </row>
    <row r="11" spans="1:2" ht="28.8">
      <c r="A11" s="7" t="s">
        <v>57</v>
      </c>
      <c r="B11" s="7" t="s">
        <v>20</v>
      </c>
    </row>
    <row r="12" spans="1:2" ht="28.8">
      <c r="A12" s="7" t="s">
        <v>59</v>
      </c>
      <c r="B12" s="7" t="s">
        <v>28</v>
      </c>
    </row>
    <row r="13" spans="1:2" ht="28.8">
      <c r="A13" s="7" t="s">
        <v>61</v>
      </c>
      <c r="B13" s="7" t="s">
        <v>20</v>
      </c>
    </row>
    <row r="14" spans="1:2" ht="28.8">
      <c r="A14" s="7" t="s">
        <v>63</v>
      </c>
      <c r="B14" s="7" t="s">
        <v>38</v>
      </c>
    </row>
    <row r="15" spans="1:2" ht="28.8">
      <c r="A15" s="7" t="s">
        <v>65</v>
      </c>
      <c r="B15" s="7" t="s">
        <v>28</v>
      </c>
    </row>
    <row r="16" spans="1:2" ht="28.8">
      <c r="A16" s="7" t="s">
        <v>67</v>
      </c>
      <c r="B16" s="7" t="s">
        <v>20</v>
      </c>
    </row>
    <row r="17" spans="1:2" ht="28.8">
      <c r="A17" s="7" t="s">
        <v>69</v>
      </c>
      <c r="B17" s="7" t="s">
        <v>38</v>
      </c>
    </row>
    <row r="18" spans="1:2" ht="28.8">
      <c r="A18" s="7" t="s">
        <v>71</v>
      </c>
      <c r="B18" s="7" t="s">
        <v>28</v>
      </c>
    </row>
    <row r="19" spans="1:2" ht="28.8">
      <c r="A19" s="7" t="s">
        <v>73</v>
      </c>
      <c r="B19" s="7" t="s">
        <v>20</v>
      </c>
    </row>
    <row r="20" spans="1:2" ht="28.8">
      <c r="A20" s="7" t="s">
        <v>75</v>
      </c>
      <c r="B20" s="7" t="s">
        <v>28</v>
      </c>
    </row>
    <row r="21" spans="1:2" ht="28.8">
      <c r="A21" s="7" t="s">
        <v>77</v>
      </c>
      <c r="B21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Sheet6</vt:lpstr>
      <vt:lpstr>Sheet7</vt:lpstr>
      <vt:lpstr>data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Seidahmet</dc:creator>
  <cp:lastModifiedBy>Seidakhmet Rashid</cp:lastModifiedBy>
  <dcterms:created xsi:type="dcterms:W3CDTF">2026-01-17T18:01:47Z</dcterms:created>
  <dcterms:modified xsi:type="dcterms:W3CDTF">2026-01-20T16:28:15Z</dcterms:modified>
</cp:coreProperties>
</file>